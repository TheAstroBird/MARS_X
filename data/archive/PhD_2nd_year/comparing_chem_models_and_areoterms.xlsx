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strobirf/Desktop/MARS/Programs/MARS_X/data/archive/PhD_2nd_year/"/>
    </mc:Choice>
  </mc:AlternateContent>
  <xr:revisionPtr revIDLastSave="0" documentId="13_ncr:1_{2EFD63EF-D9B1-A147-BC60-17E39EFED47F}" xr6:coauthVersionLast="47" xr6:coauthVersionMax="47" xr10:uidLastSave="{00000000-0000-0000-0000-000000000000}"/>
  <bookViews>
    <workbookView xWindow="0" yWindow="500" windowWidth="28800" windowHeight="16100" tabRatio="500" xr2:uid="{00000000-000D-0000-FFFF-FFFF00000000}"/>
  </bookViews>
  <sheets>
    <sheet name="Sheet1" sheetId="1" r:id="rId1"/>
  </sheets>
  <definedNames>
    <definedName name="_xlnm._FilterDatabase" localSheetId="0" hidden="1">Sheet1!$A$1:$V$525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W480" i="1" l="1"/>
  <c r="W473" i="1"/>
  <c r="W471" i="1"/>
  <c r="W469" i="1"/>
  <c r="W467" i="1"/>
  <c r="W465" i="1"/>
  <c r="W463" i="1"/>
  <c r="W461" i="1"/>
  <c r="W459" i="1"/>
  <c r="W457" i="1"/>
  <c r="W456" i="1"/>
  <c r="W455" i="1"/>
  <c r="W454" i="1"/>
  <c r="W453" i="1"/>
  <c r="W452" i="1"/>
  <c r="W422" i="1"/>
  <c r="W419" i="1"/>
  <c r="W416" i="1"/>
  <c r="W413" i="1"/>
  <c r="W410" i="1"/>
  <c r="W408" i="1"/>
  <c r="W406" i="1"/>
  <c r="W404" i="1"/>
  <c r="W402" i="1"/>
  <c r="W387" i="1"/>
  <c r="W384" i="1"/>
  <c r="W382" i="1"/>
  <c r="W329" i="1"/>
  <c r="W320" i="1"/>
  <c r="W317" i="1"/>
  <c r="W315" i="1"/>
  <c r="W313" i="1"/>
  <c r="W311" i="1"/>
  <c r="W309" i="1"/>
  <c r="W307" i="1"/>
  <c r="W304" i="1"/>
  <c r="W302" i="1"/>
  <c r="W300" i="1"/>
  <c r="W299" i="1"/>
  <c r="W298" i="1"/>
  <c r="W297" i="1"/>
  <c r="W296" i="1"/>
  <c r="W295" i="1"/>
  <c r="W294" i="1"/>
  <c r="W293" i="1"/>
  <c r="W264" i="1"/>
  <c r="W261" i="1"/>
  <c r="W258" i="1"/>
  <c r="W255" i="1"/>
  <c r="W252" i="1"/>
  <c r="W250" i="1"/>
  <c r="W248" i="1"/>
  <c r="W246" i="1"/>
  <c r="W244" i="1"/>
  <c r="W242" i="1"/>
  <c r="W240" i="1"/>
  <c r="W239" i="1"/>
  <c r="W238" i="1"/>
  <c r="W225" i="1"/>
  <c r="W223" i="1"/>
  <c r="W161" i="1"/>
  <c r="W159" i="1"/>
  <c r="W157" i="1"/>
  <c r="W155" i="1"/>
  <c r="W153" i="1"/>
  <c r="W151" i="1"/>
  <c r="W149" i="1"/>
  <c r="W147" i="1"/>
  <c r="W145" i="1"/>
  <c r="W144" i="1"/>
  <c r="W143" i="1"/>
  <c r="W142" i="1"/>
  <c r="W141" i="1"/>
  <c r="W140" i="1"/>
  <c r="W139" i="1"/>
  <c r="W138" i="1"/>
  <c r="W137" i="1"/>
  <c r="W108" i="1"/>
  <c r="W105" i="1"/>
  <c r="W102" i="1"/>
  <c r="W97" i="1"/>
  <c r="W94" i="1"/>
  <c r="W91" i="1"/>
  <c r="W89" i="1"/>
  <c r="W87" i="1"/>
  <c r="W85" i="1"/>
  <c r="W83" i="1"/>
  <c r="W81" i="1"/>
  <c r="W80" i="1"/>
  <c r="W79" i="1"/>
  <c r="W64" i="1"/>
  <c r="W61" i="1"/>
  <c r="Z59" i="1"/>
  <c r="Z40" i="1"/>
  <c r="Z37" i="1"/>
  <c r="Z35" i="1"/>
  <c r="Z23" i="1"/>
  <c r="Y59" i="1"/>
  <c r="Y40" i="1"/>
  <c r="Y37" i="1"/>
  <c r="Y35" i="1"/>
  <c r="Y23" i="1"/>
  <c r="W59" i="1"/>
  <c r="X59" i="1" s="1"/>
  <c r="W40" i="1"/>
  <c r="X40" i="1" s="1"/>
  <c r="W37" i="1"/>
  <c r="X37" i="1" s="1"/>
  <c r="W35" i="1"/>
  <c r="X35" i="1" s="1"/>
  <c r="W23" i="1"/>
  <c r="X23" i="1" s="1"/>
  <c r="X6" i="1"/>
  <c r="X8" i="1"/>
  <c r="W8" i="1"/>
  <c r="W6" i="1"/>
  <c r="M5" i="1"/>
  <c r="J5" i="1"/>
  <c r="M4" i="1"/>
  <c r="J4" i="1"/>
  <c r="M3" i="1"/>
  <c r="J3" i="1"/>
  <c r="M2" i="1"/>
  <c r="J2" i="1"/>
  <c r="Y480" i="1" l="1"/>
  <c r="Z480" i="1" s="1"/>
  <c r="X480" i="1"/>
  <c r="Y473" i="1"/>
  <c r="Z473" i="1" s="1"/>
  <c r="X473" i="1"/>
  <c r="Y471" i="1"/>
  <c r="Z471" i="1" s="1"/>
  <c r="X471" i="1"/>
  <c r="Y469" i="1"/>
  <c r="Z469" i="1" s="1"/>
  <c r="X469" i="1"/>
  <c r="Y467" i="1"/>
  <c r="Z467" i="1" s="1"/>
  <c r="X467" i="1"/>
  <c r="Y465" i="1"/>
  <c r="Z465" i="1" s="1"/>
  <c r="X465" i="1"/>
  <c r="Y463" i="1"/>
  <c r="Z463" i="1" s="1"/>
  <c r="X463" i="1"/>
  <c r="Y461" i="1"/>
  <c r="Z461" i="1" s="1"/>
  <c r="X461" i="1"/>
  <c r="Y459" i="1"/>
  <c r="Z459" i="1" s="1"/>
  <c r="X459" i="1"/>
  <c r="X457" i="1"/>
  <c r="Y457" i="1"/>
  <c r="Z457" i="1" s="1"/>
  <c r="Y456" i="1"/>
  <c r="Z456" i="1" s="1"/>
  <c r="X456" i="1"/>
  <c r="Y455" i="1"/>
  <c r="Z455" i="1" s="1"/>
  <c r="X455" i="1"/>
  <c r="Y454" i="1"/>
  <c r="Z454" i="1" s="1"/>
  <c r="X454" i="1"/>
  <c r="Y453" i="1"/>
  <c r="Z453" i="1" s="1"/>
  <c r="X453" i="1"/>
  <c r="Y452" i="1"/>
  <c r="Z452" i="1" s="1"/>
  <c r="X452" i="1"/>
  <c r="Y422" i="1"/>
  <c r="Z422" i="1" s="1"/>
  <c r="X422" i="1"/>
  <c r="Y419" i="1"/>
  <c r="Z419" i="1" s="1"/>
  <c r="X419" i="1"/>
  <c r="Y416" i="1"/>
  <c r="Z416" i="1" s="1"/>
  <c r="X416" i="1"/>
  <c r="Y413" i="1"/>
  <c r="Z413" i="1" s="1"/>
  <c r="X413" i="1"/>
  <c r="X410" i="1"/>
  <c r="Y410" i="1"/>
  <c r="Z410" i="1" s="1"/>
  <c r="X408" i="1"/>
  <c r="Y408" i="1"/>
  <c r="Z408" i="1" s="1"/>
  <c r="Y406" i="1"/>
  <c r="Z406" i="1" s="1"/>
  <c r="X406" i="1"/>
  <c r="Y404" i="1"/>
  <c r="Z404" i="1" s="1"/>
  <c r="X404" i="1"/>
  <c r="Y402" i="1"/>
  <c r="Z402" i="1" s="1"/>
  <c r="X402" i="1"/>
  <c r="Y387" i="1"/>
  <c r="Z387" i="1" s="1"/>
  <c r="X387" i="1"/>
  <c r="Y384" i="1"/>
  <c r="Z384" i="1" s="1"/>
  <c r="X384" i="1"/>
  <c r="Y382" i="1"/>
  <c r="Z382" i="1" s="1"/>
  <c r="X382" i="1"/>
  <c r="Y329" i="1"/>
  <c r="Z329" i="1" s="1"/>
  <c r="X329" i="1"/>
  <c r="Y320" i="1"/>
  <c r="Z320" i="1" s="1"/>
  <c r="X320" i="1"/>
  <c r="Y317" i="1"/>
  <c r="Z317" i="1" s="1"/>
  <c r="X317" i="1"/>
  <c r="Y315" i="1"/>
  <c r="Z315" i="1" s="1"/>
  <c r="X315" i="1"/>
  <c r="X313" i="1"/>
  <c r="Y313" i="1"/>
  <c r="Z313" i="1" s="1"/>
  <c r="Y311" i="1"/>
  <c r="Z311" i="1" s="1"/>
  <c r="X311" i="1"/>
  <c r="Y309" i="1"/>
  <c r="Z309" i="1" s="1"/>
  <c r="X309" i="1"/>
  <c r="Y307" i="1"/>
  <c r="Z307" i="1" s="1"/>
  <c r="X307" i="1"/>
  <c r="Y304" i="1"/>
  <c r="Z304" i="1" s="1"/>
  <c r="X304" i="1"/>
  <c r="X302" i="1"/>
  <c r="Y302" i="1"/>
  <c r="Z302" i="1" s="1"/>
  <c r="Y300" i="1"/>
  <c r="Z300" i="1" s="1"/>
  <c r="X300" i="1"/>
  <c r="X299" i="1"/>
  <c r="Y299" i="1"/>
  <c r="Z299" i="1" s="1"/>
  <c r="X298" i="1"/>
  <c r="Y298" i="1"/>
  <c r="Z298" i="1" s="1"/>
  <c r="X297" i="1"/>
  <c r="Y297" i="1"/>
  <c r="Z297" i="1" s="1"/>
  <c r="X296" i="1"/>
  <c r="Y296" i="1"/>
  <c r="Z296" i="1" s="1"/>
  <c r="Y295" i="1"/>
  <c r="Z295" i="1" s="1"/>
  <c r="X295" i="1"/>
  <c r="X294" i="1"/>
  <c r="Y294" i="1"/>
  <c r="Z294" i="1" s="1"/>
  <c r="Y293" i="1"/>
  <c r="Z293" i="1" s="1"/>
  <c r="X293" i="1"/>
  <c r="X264" i="1"/>
  <c r="Y264" i="1"/>
  <c r="Z264" i="1" s="1"/>
  <c r="Y261" i="1"/>
  <c r="Z261" i="1" s="1"/>
  <c r="X261" i="1"/>
  <c r="X258" i="1"/>
  <c r="Y258" i="1"/>
  <c r="Z258" i="1" s="1"/>
  <c r="Y255" i="1"/>
  <c r="Z255" i="1" s="1"/>
  <c r="X255" i="1"/>
  <c r="Y252" i="1"/>
  <c r="Z252" i="1" s="1"/>
  <c r="X252" i="1"/>
  <c r="Y250" i="1"/>
  <c r="Z250" i="1" s="1"/>
  <c r="X250" i="1"/>
  <c r="X248" i="1"/>
  <c r="Y248" i="1"/>
  <c r="Z248" i="1" s="1"/>
  <c r="X246" i="1"/>
  <c r="Y246" i="1"/>
  <c r="Z246" i="1" s="1"/>
  <c r="X244" i="1"/>
  <c r="Y244" i="1"/>
  <c r="Z244" i="1" s="1"/>
  <c r="X242" i="1"/>
  <c r="Y242" i="1"/>
  <c r="Z242" i="1" s="1"/>
  <c r="X240" i="1"/>
  <c r="Y240" i="1"/>
  <c r="Z240" i="1" s="1"/>
  <c r="Y239" i="1"/>
  <c r="Z239" i="1" s="1"/>
  <c r="X239" i="1"/>
  <c r="X238" i="1"/>
  <c r="Y238" i="1"/>
  <c r="Z238" i="1" s="1"/>
  <c r="Y225" i="1"/>
  <c r="Z225" i="1" s="1"/>
  <c r="X225" i="1"/>
  <c r="Y223" i="1"/>
  <c r="Z223" i="1" s="1"/>
  <c r="X223" i="1"/>
  <c r="Y161" i="1"/>
  <c r="Z161" i="1" s="1"/>
  <c r="X161" i="1"/>
  <c r="Y159" i="1"/>
  <c r="Z159" i="1" s="1"/>
  <c r="X159" i="1"/>
  <c r="Y157" i="1"/>
  <c r="Z157" i="1" s="1"/>
  <c r="X157" i="1"/>
  <c r="X155" i="1"/>
  <c r="Y155" i="1"/>
  <c r="Z155" i="1" s="1"/>
  <c r="Y153" i="1"/>
  <c r="Z153" i="1" s="1"/>
  <c r="X153" i="1"/>
  <c r="X151" i="1"/>
  <c r="Y151" i="1"/>
  <c r="Z151" i="1" s="1"/>
  <c r="Y149" i="1"/>
  <c r="Z149" i="1" s="1"/>
  <c r="X149" i="1"/>
  <c r="X147" i="1"/>
  <c r="Y147" i="1"/>
  <c r="Z147" i="1" s="1"/>
  <c r="X145" i="1"/>
  <c r="Y145" i="1"/>
  <c r="Z145" i="1" s="1"/>
  <c r="X144" i="1"/>
  <c r="Y144" i="1"/>
  <c r="Z144" i="1" s="1"/>
  <c r="X143" i="1"/>
  <c r="Y143" i="1"/>
  <c r="Z143" i="1" s="1"/>
  <c r="X142" i="1"/>
  <c r="Y142" i="1"/>
  <c r="Z142" i="1" s="1"/>
  <c r="X141" i="1"/>
  <c r="Y141" i="1"/>
  <c r="Z141" i="1" s="1"/>
  <c r="X140" i="1"/>
  <c r="Y140" i="1"/>
  <c r="Z140" i="1" s="1"/>
  <c r="Y139" i="1"/>
  <c r="Z139" i="1" s="1"/>
  <c r="X139" i="1"/>
  <c r="Y138" i="1"/>
  <c r="Z138" i="1" s="1"/>
  <c r="X138" i="1"/>
  <c r="Y137" i="1"/>
  <c r="Z137" i="1" s="1"/>
  <c r="X137" i="1"/>
  <c r="X108" i="1"/>
  <c r="Y108" i="1"/>
  <c r="Z108" i="1" s="1"/>
  <c r="Y105" i="1"/>
  <c r="Z105" i="1" s="1"/>
  <c r="X105" i="1"/>
  <c r="X102" i="1"/>
  <c r="Y102" i="1"/>
  <c r="Z102" i="1" s="1"/>
  <c r="X97" i="1"/>
  <c r="Y97" i="1"/>
  <c r="Z97" i="1" s="1"/>
  <c r="X94" i="1"/>
  <c r="Y94" i="1"/>
  <c r="Z94" i="1" s="1"/>
  <c r="X91" i="1"/>
  <c r="Y91" i="1"/>
  <c r="Z91" i="1" s="1"/>
  <c r="X89" i="1"/>
  <c r="Y89" i="1"/>
  <c r="Z89" i="1" s="1"/>
  <c r="Y87" i="1"/>
  <c r="Z87" i="1" s="1"/>
  <c r="X87" i="1"/>
  <c r="X85" i="1"/>
  <c r="Y85" i="1"/>
  <c r="Z85" i="1" s="1"/>
  <c r="X83" i="1"/>
  <c r="Y83" i="1"/>
  <c r="Z83" i="1" s="1"/>
  <c r="Y81" i="1"/>
  <c r="Z81" i="1" s="1"/>
  <c r="X81" i="1"/>
  <c r="X80" i="1"/>
  <c r="Y80" i="1"/>
  <c r="Z80" i="1" s="1"/>
  <c r="Y79" i="1"/>
  <c r="Z79" i="1" s="1"/>
  <c r="X79" i="1"/>
  <c r="Y64" i="1"/>
  <c r="Z64" i="1" s="1"/>
  <c r="X64" i="1"/>
  <c r="Y61" i="1"/>
  <c r="Z61" i="1" s="1"/>
  <c r="X61" i="1"/>
</calcChain>
</file>

<file path=xl/sharedStrings.xml><?xml version="1.0" encoding="utf-8"?>
<sst xmlns="http://schemas.openxmlformats.org/spreadsheetml/2006/main" count="2120" uniqueCount="1081">
  <si>
    <t>crust_density</t>
  </si>
  <si>
    <t>crust_depth</t>
  </si>
  <si>
    <t>core_density_center</t>
  </si>
  <si>
    <t>core_density_boundary</t>
  </si>
  <si>
    <t>core_radius</t>
  </si>
  <si>
    <t>FeH</t>
  </si>
  <si>
    <t>FeS</t>
  </si>
  <si>
    <t>has_viscosity</t>
  </si>
  <si>
    <t>viscosity</t>
  </si>
  <si>
    <t>andrade</t>
  </si>
  <si>
    <t>has_melt_layer</t>
  </si>
  <si>
    <t>viscosity_melt</t>
  </si>
  <si>
    <t>inertia</t>
  </si>
  <si>
    <t>Molodensky_number</t>
  </si>
  <si>
    <t>Love_number_elastic</t>
  </si>
  <si>
    <t>Love_number</t>
  </si>
  <si>
    <t>Love_number_CW</t>
  </si>
  <si>
    <t>Love_number_secular</t>
  </si>
  <si>
    <t>Chandler_period</t>
  </si>
  <si>
    <t>Chandler_period_elastic</t>
  </si>
  <si>
    <t>(0.17207268556956157-0.006774794827030683j)</t>
  </si>
  <si>
    <t>(0.2596680128595503-0.09225289272450254j)</t>
  </si>
  <si>
    <t>(0.17696345879058106-0.01410258233126347j)</t>
  </si>
  <si>
    <t>(0.4607359459572178-0.23266688870181207j)</t>
  </si>
  <si>
    <t>(0.16969174006728927-0.013395900503570996j)</t>
  </si>
  <si>
    <t>(0.4362514627225156-0.22806995271443609j)</t>
  </si>
  <si>
    <t>(0.16885963509785928-0.013335409612102294j)</t>
  </si>
  <si>
    <t>(0.4336419301856447-0.2228934523074586j)</t>
  </si>
  <si>
    <t>chemical_model</t>
  </si>
  <si>
    <t>areoterm</t>
  </si>
  <si>
    <t>ATM</t>
  </si>
  <si>
    <t>(0.17524897659561622-0.0019004102082050838j)</t>
  </si>
  <si>
    <t>(0.19370187874454992-0.011968051148887715j)</t>
  </si>
  <si>
    <t>(0.17893517669252068-0.003766859873473632j)</t>
  </si>
  <si>
    <t>(0.2159486938324089-0.03058859335424932j)</t>
  </si>
  <si>
    <t>(0.16804357937863412-0.0018003154033959883j)</t>
  </si>
  <si>
    <t>(0.18549626004067088-0.011331813436828875j)</t>
  </si>
  <si>
    <t>(0.17153595933511134-0.0035688702374041623j)</t>
  </si>
  <si>
    <t>(0.20656103103455958-0.028878116660354114j)</t>
  </si>
  <si>
    <t>(0.17842668450300225-0.007181809860746006j)</t>
  </si>
  <si>
    <t>(0.27160480776653806-0.09917169865207043j)</t>
  </si>
  <si>
    <t>(0.17095182733639458-0.0068067439213777906j)</t>
  </si>
  <si>
    <t>(0.2586904261319327-0.0935428887674134j)</t>
  </si>
  <si>
    <t>(0.1701751933864264-0.006779242902307015j)</t>
  </si>
  <si>
    <t>(0.25759022526293784-0.0931787014661214j)</t>
  </si>
  <si>
    <t>(0.17609376205850014-0.014175207415759115j)</t>
  </si>
  <si>
    <t>(0.4667111382980276-0.23919445565903086j)</t>
  </si>
  <si>
    <t>(0.17519140670106115-0.014105787902449103j)</t>
  </si>
  <si>
    <t>(0.4533404177344105-0.2423455121099285j)</t>
  </si>
  <si>
    <t>(0.17438976558649255-0.014051619339818794j)</t>
  </si>
  <si>
    <t>(0.4590720788536291-0.24492934704594682j)</t>
  </si>
  <si>
    <t>(0.17431119371085302-0.014004593028643856j)</t>
  </si>
  <si>
    <t>(0.4587208482030256-0.23664989339889553j)</t>
  </si>
  <si>
    <t>(0.16848679684454626-0.013425892519205885j)</t>
  </si>
  <si>
    <t>(0.4365602412039824-0.23460999787848802j)</t>
  </si>
  <si>
    <t>(0.16776634363830523-0.01337736031486942j)</t>
  </si>
  <si>
    <t>(0.4382704588956474-0.2291918843516767j)</t>
  </si>
  <si>
    <t>(0.16698304109541295-0.013322362750508868j)</t>
  </si>
  <si>
    <t>(0.43592781362547406-0.2294381317461096j)</t>
  </si>
  <si>
    <t>(0.1669514387265152-0.013285698365151075j)</t>
  </si>
  <si>
    <t>(0.4351936352897108-0.22551329270591935j)</t>
  </si>
  <si>
    <t>ATH</t>
  </si>
  <si>
    <t>(0.17325733352824702-0.014908140993321472j)</t>
  </si>
  <si>
    <t>(0.4875887338316707-0.24201339739578165j)</t>
  </si>
  <si>
    <t>(0.1660445101707082-0.014126486764993406j)</t>
  </si>
  <si>
    <t>(0.4598552886831495-0.237444707201504j)</t>
  </si>
  <si>
    <t>MA79</t>
  </si>
  <si>
    <t>(0.17022329766277267-0.0018020117409838186j)</t>
  </si>
  <si>
    <t>(0.18768493383020024-0.011336148333824098j)</t>
  </si>
  <si>
    <t>(0.1737185197099831-0.0035711443453405357j)</t>
  </si>
  <si>
    <t>(0.20878346655837077-0.028910625950959j)</t>
  </si>
  <si>
    <t>(0.18058215454858195-0.0071819992186810885j)</t>
  </si>
  <si>
    <t>(0.27446151675352937-0.09840917645862718j)</t>
  </si>
  <si>
    <t>(0.16676464066895402-0.003391670328147583j)</t>
  </si>
  <si>
    <t>(0.20006389885105724-0.02737871677352441j)</t>
  </si>
  <si>
    <t>(0.1733130261669853-0.00682318279653866j)</t>
  </si>
  <si>
    <t>(0.2617998762747389-0.09301418989291071j)</t>
  </si>
  <si>
    <t>(0.16631192529087668-0.006483905449643735j)</t>
  </si>
  <si>
    <t>(0.24983769134569078-0.08808685759371604j)</t>
  </si>
  <si>
    <t>(0.1785797654615422-0.014232336705711975j)</t>
  </si>
  <si>
    <t>(0.4625846134504723-0.2289454710371268j)</t>
  </si>
  <si>
    <t>(0.17775487594969164-0.014173417299788396j)</t>
  </si>
  <si>
    <t>(0.46181680126269575-0.22911025357507886j)</t>
  </si>
  <si>
    <t>(0.17127126575750773-0.013520345490328146j)</t>
  </si>
  <si>
    <t>(0.4385836823885261-0.2263590798202052j)</t>
  </si>
  <si>
    <t>(0.17049497757690135-0.01346598224386764j)</t>
  </si>
  <si>
    <t>(0.42539312056053613-0.22338639860298537j)</t>
  </si>
  <si>
    <t>(0.1696393311259492-0.013405328628414783j)</t>
  </si>
  <si>
    <t>(0.436305955695782-0.23098456708621473j)</t>
  </si>
  <si>
    <t>(0.16989747686540135-0.01338731596410497j)</t>
  </si>
  <si>
    <t>(0.4485074672363192-0.22753494979974365j)</t>
  </si>
  <si>
    <t>T13</t>
  </si>
  <si>
    <t>(0.17692684002952497-0.0019209806710782395j)</t>
  </si>
  <si>
    <t>(0.19557804755542607-0.012099867444122892j)</t>
  </si>
  <si>
    <t>(0.18065280317705934-0.0038076113673436067j)</t>
  </si>
  <si>
    <t>(0.21807232821851508-0.030958573185344312j)</t>
  </si>
  <si>
    <t>(0.16964953115219106-0.001819341100081119j)</t>
  </si>
  <si>
    <t>(0.1872851854630424-0.011454102126579935j)</t>
  </si>
  <si>
    <t>(0.17317866659733228-0.0036065511737116565j)</t>
  </si>
  <si>
    <t>(0.20858036135366786-0.029218903406647873j)</t>
  </si>
  <si>
    <t>(0.1801118415844325-0.007255754789967298j)</t>
  </si>
  <si>
    <t>(0.2745769374164313-0.10035310742876141j)</t>
  </si>
  <si>
    <t>(0.16874384860108727-0.0018092979971410772j)</t>
  </si>
  <si>
    <t>(0.1862857198900516-0.011394605281600634j)</t>
  </si>
  <si>
    <t>(0.17225361876826994-0.0035869871563732744j)</t>
  </si>
  <si>
    <t>(0.20746702744583256-0.029070936596673674j)</t>
  </si>
  <si>
    <t>(0.17914869295262514-0.007217408154358432j)</t>
  </si>
  <si>
    <t>(0.27304347504346405-0.09993430619943267j)</t>
  </si>
  <si>
    <t>(0.16628971612416032-0.003423604866986501j)</t>
  </si>
  <si>
    <t>(0.19995510536491734-0.027655654039264677j)</t>
  </si>
  <si>
    <t>(0.1725959266705579-0.006877589634632515j)</t>
  </si>
  <si>
    <t>(0.2617375866146754-0.09419012985244118j)</t>
  </si>
  <si>
    <t>(0.17173181613791288-0.006845838505659892j)</t>
  </si>
  <si>
    <t>(0.2601458654329696-0.0943729009526631j)</t>
  </si>
  <si>
    <t>(0.1708256664414649-0.006810089873410605j)</t>
  </si>
  <si>
    <t>(0.25869582254084134-0.09391100589598056j)</t>
  </si>
  <si>
    <t>(0.1708400369135259-0.006795227038208259j)</t>
  </si>
  <si>
    <t>(0.25827835098304797-0.09367859586249949j)</t>
  </si>
  <si>
    <t>(0.1776084691942248-0.014307234465719996j)</t>
  </si>
  <si>
    <t>(0.4650261779664202-0.2382929450869926j)</t>
  </si>
  <si>
    <t>(0.1767880412321554-0.014247521530807657j)</t>
  </si>
  <si>
    <t>(0.46713943742056596-0.23328517805344895j)</t>
  </si>
  <si>
    <t>(0.17598960758564441-0.014190551783495216j)</t>
  </si>
  <si>
    <t>(0.46526905195565793-0.23421917338441645j)</t>
  </si>
  <si>
    <t>(0.17512966892130777-0.014127189175043684j)</t>
  </si>
  <si>
    <t>(0.46310152874150123-0.23612614426947953j)</t>
  </si>
  <si>
    <t>(0.17597139039918552-0.014152446720967158j)</t>
  </si>
  <si>
    <t>(0.4601953419152143-0.2355091724234677j)</t>
  </si>
  <si>
    <t>(0.17519048548298022-0.01409606118259244j)</t>
  </si>
  <si>
    <t>(0.4626040303215526-0.23231189424469811j)</t>
  </si>
  <si>
    <t>(0.16924032086699725-0.01350691900418844j)</t>
  </si>
  <si>
    <t>(0.4418444223428013-0.23963384503561225j)</t>
  </si>
  <si>
    <t>(0.1684699575513131-0.013449966976414237j)</t>
  </si>
  <si>
    <t>(0.44008658504345766-0.2375043211154667j)</t>
  </si>
  <si>
    <t>(0.1678163960934267-0.01340652536617751j)</t>
  </si>
  <si>
    <t>(0.43929950668534756-0.23629294999525197j)</t>
  </si>
  <si>
    <t>(0.16844260975861003-0.013413310227667485j)</t>
  </si>
  <si>
    <t>(0.44019998174365926-0.2260211984176752j)</t>
  </si>
  <si>
    <t>(0.1678790956160734-0.013379789004990358j)</t>
  </si>
  <si>
    <t>(0.44383860308654466-0.22679733134341173j)</t>
  </si>
  <si>
    <t>(0.17537350610000457-0.001848862700104204j)</t>
  </si>
  <si>
    <t>(0.1933057321917464-0.011642120907508435j)</t>
  </si>
  <si>
    <t>(0.1789587917267652-0.003662876171539201j)</t>
  </si>
  <si>
    <t>(0.21499870843972801-0.029862165793278078j)</t>
  </si>
  <si>
    <t>(0.16853696999500234-0.0017568973053651246j)</t>
  </si>
  <si>
    <t>(0.18555486607966998-0.011060514556106293j)</t>
  </si>
  <si>
    <t>(0.17194441263311422-0.003481329165571949j)</t>
  </si>
  <si>
    <t>(0.20617197800443599-0.028297138879034844j)</t>
  </si>
  <si>
    <t>(0.1786337073971671-0.0070027590131463285j)</t>
  </si>
  <si>
    <t>(0.2710017348460667-0.09535045329710906j)</t>
  </si>
  <si>
    <t>(0.1676316386065202-0.0017472884052962502j)</t>
  </si>
  <si>
    <t>(0.18455923694274468-0.011004083409939247j)</t>
  </si>
  <si>
    <t>(0.17102057101720058-0.003462656073239742j)</t>
  </si>
  <si>
    <t>(0.20505714080519843-0.02815987173772372j)</t>
  </si>
  <si>
    <t>(0.17767348107009995-0.0069662902583868865j)</t>
  </si>
  <si>
    <t>(0.26945945151065587-0.09497968256165723j)</t>
  </si>
  <si>
    <t>(0.17150665644739682-0.006656717689174859j)</t>
  </si>
  <si>
    <t>(0.2585901499575134-0.09029190420618693j)</t>
  </si>
  <si>
    <t>(0.17060668656205102-0.0066236442190363565j)</t>
  </si>
  <si>
    <t>(0.2572005928565684-0.08996453890010692j)</t>
  </si>
  <si>
    <t>(0.1700386887977543-0.006585288129619914j)</t>
  </si>
  <si>
    <t>(0.2560821855578863-0.089263241742646j)</t>
  </si>
  <si>
    <t>(0.1766037474947595-0.013917417523436126j)</t>
  </si>
  <si>
    <t>(0.45854851423799703-0.22701074266459287j)</t>
  </si>
  <si>
    <t>(0.17577921501683202-0.013861088444424682j)</t>
  </si>
  <si>
    <t>(0.45571942926609665-0.22670666896812453j)</t>
  </si>
  <si>
    <t>(0.17485510631332568-0.013791965408288209j)</t>
  </si>
  <si>
    <t>(0.45240094559307176-0.23296621866963063j)</t>
  </si>
  <si>
    <t>(0.1748249424737034-0.013749726539782469j)</t>
  </si>
  <si>
    <t>(0.43649553901173244-0.2141027693039681j)</t>
  </si>
  <si>
    <t>(0.16849716417473903-0.013157344464343145j)</t>
  </si>
  <si>
    <t>(0.41379794128596625-0.2117740192951434j)</t>
  </si>
  <si>
    <t>(0.16769814608372458-0.013103018373823702j)</t>
  </si>
  <si>
    <t>(0.44205845619400375-0.2372809150827715j)</t>
  </si>
  <si>
    <t>(0.16698015948462386-0.013056517183437977j)</t>
  </si>
  <si>
    <t>(0.43388716164974017-0.23500345720021265j)</t>
  </si>
  <si>
    <t>(0.16769640733872482-0.013068328898492555j)</t>
  </si>
  <si>
    <t>(0.44572627843166-0.2230293017734768j)</t>
  </si>
  <si>
    <t>(0.1671097024463013-0.013034071056092254j)</t>
  </si>
  <si>
    <t>(0.43663832008798087-0.23064207656804836j)</t>
  </si>
  <si>
    <t>LF97</t>
  </si>
  <si>
    <t>ATL</t>
  </si>
  <si>
    <t>(0.18193001338050374-0.0019739785291281045j)</t>
  </si>
  <si>
    <t>(0.20109045729799524-0.012438411736443555j)</t>
  </si>
  <si>
    <t>(0.18189385739317854-0.001968679853010689j)</t>
  </si>
  <si>
    <t>(0.20099664622733515-0.01239425850822129j)</t>
  </si>
  <si>
    <t>(0.1755039321329035-0.0018806316145693774j)</t>
  </si>
  <si>
    <t>(0.19375925711471775-0.011843422127364403j)</t>
  </si>
  <si>
    <t>(0.1791513943977847-0.003727107979367399j)</t>
  </si>
  <si>
    <t>(0.21579863650971642-0.030306877291361917j)</t>
  </si>
  <si>
    <t>(0.1745296730642525-0.0018696224279052026j)</t>
  </si>
  <si>
    <t>(0.192681502398115-0.011778799832921405j)</t>
  </si>
  <si>
    <t>(0.17815589646705599-0.003705671265447414j)</t>
  </si>
  <si>
    <t>(0.21459751479617184-0.03014394936551104j)</t>
  </si>
  <si>
    <t>(0.17363950325370792-0.001859789837405795j)</t>
  </si>
  <si>
    <t>(0.19169915908669033-0.011721493910320402j)</t>
  </si>
  <si>
    <t>(0.17724676508345594-0.0036865522888828413j)</t>
  </si>
  <si>
    <t>(0.21350541127047684-0.03000051068362264j)</t>
  </si>
  <si>
    <t>(0.1744951722096375-0.0018647500216238283j)</t>
  </si>
  <si>
    <t>(0.19259426555911263-0.01173812177121289j)</t>
  </si>
  <si>
    <t>(0.17811182224578115-0.0036954200618019937j)</t>
  </si>
  <si>
    <t>(0.21444193204848538-0.030011211549371197j)</t>
  </si>
  <si>
    <t>(0.17370320981389553-0.0018562838270790977j)</t>
  </si>
  <si>
    <t>(0.19172327419187774-0.011689444270787691j)</t>
  </si>
  <si>
    <t>(0.17730354351628197-0.0036790071677654593j)</t>
  </si>
  <si>
    <t>(0.21347743615938608-0.029891650888506205j)</t>
  </si>
  <si>
    <t>(0.1683630604729791-0.0017826554521464142j)</t>
  </si>
  <si>
    <t>(0.18563959728575097-0.011222061926844662j)</t>
  </si>
  <si>
    <t>(0.17182082641636098-0.0035334117302619735j)</t>
  </si>
  <si>
    <t>(0.2065223163639618-0.02863353909915975j)</t>
  </si>
  <si>
    <t>(0.17861256203543197-0.007108125646836213j)</t>
  </si>
  <si>
    <t>(0.2715013326136071-0.09763186018672071j)</t>
  </si>
  <si>
    <t>(0.167525390305024-0.001773695494378764j)</t>
  </si>
  <si>
    <t>(0.18471875566402285-0.01116935925769269j)</t>
  </si>
  <si>
    <t>(0.1709658898868225-0.0035159961456604156j)</t>
  </si>
  <si>
    <t>(0.2055000853431317-0.028503815827101542j)</t>
  </si>
  <si>
    <t>(0.17772368171015396-0.007074115275588681j)</t>
  </si>
  <si>
    <t>(0.2701033156439656-0.09728430918876962j)</t>
  </si>
  <si>
    <t>(0.16662877611353144-0.0017639430692166103j)</t>
  </si>
  <si>
    <t>(0.18372982166235663-0.011112184963835675j)</t>
  </si>
  <si>
    <t>(0.17005047332450274-0.003497004182436117j)</t>
  </si>
  <si>
    <t>(0.2044015959233383-0.028360131959092982j)</t>
  </si>
  <si>
    <t>(0.17677127075956012-0.0070368999122874904j)</t>
  </si>
  <si>
    <t>(0.2685928624110001-0.09688500455331356j)</t>
  </si>
  <si>
    <t>(0.16921536235455426-0.003480103111324763j)</t>
  </si>
  <si>
    <t>(0.2034040140513831-0.028234011785686602j)</t>
  </si>
  <si>
    <t>(0.17593460340186562-0.007006160273819246j)</t>
  </si>
  <si>
    <t>(0.26722816796174165-0.09654591944945412j)</t>
  </si>
  <si>
    <t>(0.16748849369611873-0.0017691959126241688j)</t>
  </si>
  <si>
    <t>(0.18463756514542595-0.011131857631002884j)</t>
  </si>
  <si>
    <t>(0.17092011898125126-0.0035065289667582846j)</t>
  </si>
  <si>
    <t>(0.20535689980995064-0.028383060338056626j)</t>
  </si>
  <si>
    <t>(0.1776636553846398-0.0070531739573102565j)</t>
  </si>
  <si>
    <t>(0.2696720230449914-0.09668563633805088j)</t>
  </si>
  <si>
    <t>(0.16675140926649723-0.0017615918415270224j)</t>
  </si>
  <si>
    <t>(0.1838290087175909-0.011088242544767757j)</t>
  </si>
  <si>
    <t>(0.17016838993957029-0.0034917891388434874j)</t>
  </si>
  <si>
    <t>(0.20446428074661727-0.0282763721192906j)</t>
  </si>
  <si>
    <t>(0.1768832298020524-0.007024543476164601j)</t>
  </si>
  <si>
    <t>(0.2684679571768427-0.09641647170671042j)</t>
  </si>
  <si>
    <t>(0.16602148628690738-0.0017540811620559414j)</t>
  </si>
  <si>
    <t>(0.1830285145752062-0.011045173203811653j)</t>
  </si>
  <si>
    <t>(0.16942400197969043-0.003477226976118835j)</t>
  </si>
  <si>
    <t>(0.20358071026897795-0.028170870252780533j)</t>
  </si>
  <si>
    <t>(0.17613735635507055-0.0069984102282228105j)</t>
  </si>
  <si>
    <t>(0.26727575382013913-0.09614961614844014j)</t>
  </si>
  <si>
    <t>(0.16932543945296907-0.0034648937159633174j)</t>
  </si>
  <si>
    <t>(0.20335502848654796-0.028018965749574604j)</t>
  </si>
  <si>
    <t>(0.1760146721275564-0.00697126705460169j)</t>
  </si>
  <si>
    <t>(0.2666884677830259-0.09541334267809498j)</t>
  </si>
  <si>
    <t>(0.1704296690266387-0.006714210508565511j)</t>
  </si>
  <si>
    <t>(0.2573781122950307-0.09210971028467707j)</t>
  </si>
  <si>
    <t>(0.16961866111749613-0.006684320137377293j)</t>
  </si>
  <si>
    <t>(0.2560409007363207-0.0919765484997157j)</t>
  </si>
  <si>
    <t>(0.16874113605266894-0.006651118207853478j)</t>
  </si>
  <si>
    <t>(0.2548223028724801-0.09131685511220483j)</t>
  </si>
  <si>
    <t>(0.18131963233152315-0.014624839582817063j)</t>
  </si>
  <si>
    <t>(0.4730487722372638-0.2421221496887156j)</t>
  </si>
  <si>
    <t>(0.17034250517575278-0.006692118040594873j)</t>
  </si>
  <si>
    <t>(0.2569871897180689-0.0914456781947316j)</t>
  </si>
  <si>
    <t>(0.16963915885331238-0.006668787508384326j)</t>
  </si>
  <si>
    <t>(0.2559042375620417-0.09109221567837655j)</t>
  </si>
  <si>
    <t>(0.16890610698735897-0.006641991548594572j)</t>
  </si>
  <si>
    <t>(0.25480783842597177-0.09085121430807491j)</t>
  </si>
  <si>
    <t>(0.18146753475902666-0.014597332460541533j)</t>
  </si>
  <si>
    <t>(0.47576701509300134-0.23030950639293257j)</t>
  </si>
  <si>
    <t>(0.16827556430515234-0.006620873491071241j)</t>
  </si>
  <si>
    <t>(0.25378748222998926-0.09082700458216364j)</t>
  </si>
  <si>
    <t>(0.18079719542506312-0.01455354440358882j)</t>
  </si>
  <si>
    <t>(0.47330600740360973-0.23673398653599154j)</t>
  </si>
  <si>
    <t>(0.16867713886647295-0.006615906724642863j)</t>
  </si>
  <si>
    <t>(0.2539587634050877-0.09043408371217021j)</t>
  </si>
  <si>
    <t>(0.1811825870235424-0.0145300616861365j)</t>
  </si>
  <si>
    <t>(0.4771980698948557-0.23279154402647007j)</t>
  </si>
  <si>
    <t>(0.17459640545365174-0.013932709553366203j)</t>
  </si>
  <si>
    <t>(0.46692899533100163-0.2387137194250698j)</t>
  </si>
  <si>
    <t>(0.17375996836917684-0.013873657232557205j)</t>
  </si>
  <si>
    <t>(0.45059408445492766-0.24039978508096405j)</t>
  </si>
  <si>
    <t>(0.17302930998196597-0.013821616288882076j)</t>
  </si>
  <si>
    <t>(0.4236520849459944-0.2344747418071429j)</t>
  </si>
  <si>
    <t>(0.17459674658252844-0.013894940778361233j)</t>
  </si>
  <si>
    <t>(0.45258632132053256-0.2242539703897749j)</t>
  </si>
  <si>
    <t>(0.17389323852565264-0.01384742231342237j)</t>
  </si>
  <si>
    <t>(0.45080882934072264-0.22594325187570308j)</t>
  </si>
  <si>
    <t>(0.17329676203094935-0.01381213091797059j)</t>
  </si>
  <si>
    <t>(0.4541434621775491-0.23796720884234746j)</t>
  </si>
  <si>
    <t>(0.17361446411998394-0.013783258935846738j)</t>
  </si>
  <si>
    <t>(0.44926626836026284-0.21548104370671572j)</t>
  </si>
  <si>
    <t>(0.17311195759199483-0.013757754439206819j)</t>
  </si>
  <si>
    <t>(0.4488207900177743-0.22694893767795743j)</t>
  </si>
  <si>
    <t>(0.16650173213571118-0.013162837034648489j)</t>
  </si>
  <si>
    <t>(0.42967240754383096-0.2330101055451994j)</t>
  </si>
  <si>
    <t>(0.16659325668581526-0.013139163087879633j)</t>
  </si>
  <si>
    <t>(0.42952787263516745-0.23000093141728728j)</t>
  </si>
  <si>
    <t>(0.16606701438670757-0.013105544476033806j)</t>
  </si>
  <si>
    <t>(0.43191991595097945-0.2357892928436427j)</t>
  </si>
  <si>
    <t>(0.16633724680814987-0.013081193286296575j)</t>
  </si>
  <si>
    <t>(0.4225348274595966-0.2167336971785332j)</t>
  </si>
  <si>
    <t>(0.18176155302962993-0.001997684597126692j)</t>
  </si>
  <si>
    <t>(0.20115946156369446-0.012598823739173981j)</t>
  </si>
  <si>
    <t>(0.18080921305018394-0.001986439415127422j)</t>
  </si>
  <si>
    <t>(0.2001013116863919-0.012532805202702807j)</t>
  </si>
  <si>
    <t>(0.1797909352637399-0.0019742584315823163j)</t>
  </si>
  <si>
    <t>(0.19896809717589958-0.012460726691690072j)</t>
  </si>
  <si>
    <t>(0.18173076745685757-0.0019926731523119746j)</t>
  </si>
  <si>
    <t>(0.20107381983086214-0.012556234695028867j)</t>
  </si>
  <si>
    <t>(0.1808832767713482-0.0019829632878726362j)</t>
  </si>
  <si>
    <t>(0.20013536384390895-0.01249997837465569j)</t>
  </si>
  <si>
    <t>(0.18004422808927445-0.0019733791460448667j)</t>
  </si>
  <si>
    <t>(0.1992065118708819-0.012444415831950592j)</t>
  </si>
  <si>
    <t>(0.17995860053498514-0.001966747789657377j)</t>
  </si>
  <si>
    <t>(0.19904962509209967-0.012389863853954491j)</t>
  </si>
  <si>
    <t>(0.1796515839454078-0.0019633379211934244j)</t>
  </si>
  <si>
    <t>(0.1987107659078593-0.012370309544918426j)</t>
  </si>
  <si>
    <t>(0.17320492466775317-0.001877468501443272j)</t>
  </si>
  <si>
    <t>(0.19144154867324548-0.011841629075995619j)</t>
  </si>
  <si>
    <t>(0.17684675216153423-0.003722599493008138j)</t>
  </si>
  <si>
    <t>(0.21344848244188563-0.030319573980894188j)</t>
  </si>
  <si>
    <t>(0.17233009780476483-0.0018676030047231813j)</t>
  </si>
  <si>
    <t>(0.19047394111822546-0.011783880677641606j)</t>
  </si>
  <si>
    <t>(0.17595289598607322-0.0037033944828234666j)</t>
  </si>
  <si>
    <t>(0.2123705885866638-0.0301746492565155j)</t>
  </si>
  <si>
    <t>(0.1714649454448467-0.0018578859901840694j)</t>
  </si>
  <si>
    <t>(0.18951741421809176-0.011726990400737741j)</t>
  </si>
  <si>
    <t>(0.17506900061044184-0.0036844748130986415j)</t>
  </si>
  <si>
    <t>(0.21130534847647375-0.030031781975492j)</t>
  </si>
  <si>
    <t>(0.17398781179961742-0.0018818754423112513j)</t>
  </si>
  <si>
    <t>(0.19225890451158323-0.011854676831112992j)</t>
  </si>
  <si>
    <t>(0.1776379565573476-0.0037303685270911255j)</t>
  </si>
  <si>
    <t>(0.2143004885686408-0.030320600220064886j)</t>
  </si>
  <si>
    <t>(0.17327333021980573-0.001874253565319319j)</t>
  </si>
  <si>
    <t>(0.1914733826976054-0.011811240268578216j)</t>
  </si>
  <si>
    <t>(0.1769087918817327-0.003715616542273051j)</t>
  </si>
  <si>
    <t>(0.21343142925931446-0.030215102187460458j)</t>
  </si>
  <si>
    <t>(0.1724937335436887-0.001865714927681646j)</t>
  </si>
  <si>
    <t>(0.19061382395146342-0.011761908622425293j)</t>
  </si>
  <si>
    <t>(0.17611273494435808-0.0036990427602499034j)</t>
  </si>
  <si>
    <t>(0.21247741247746887-0.03009349637202932j)</t>
  </si>
  <si>
    <t>(0.1717929095098314-0.001858282451755659j)</t>
  </si>
  <si>
    <t>(0.18984371619376028-0.011719509102350423j)</t>
  </si>
  <si>
    <t>(0.17539759232911312-0.00368465183133312j)</t>
  </si>
  <si>
    <t>(0.21162570020539961-0.029990371422149442j)</t>
  </si>
  <si>
    <t>(0.17219959008441754-0.0018576043974249902j)</t>
  </si>
  <si>
    <t>(0.19023611878370916-0.011700864008438727j)</t>
  </si>
  <si>
    <t>(0.17580275497143805-0.0036823948167889944j)</t>
  </si>
  <si>
    <t>(0.21199363334825816-0.029906407106822047j)</t>
  </si>
  <si>
    <t>(0.17159664381320794-0.0018515347837976736j)</t>
  </si>
  <si>
    <t>(0.189577005081071-0.011667046690112592j)</t>
  </si>
  <si>
    <t>(0.17518812785496407-0.003670701114154595j)</t>
  </si>
  <si>
    <t>(0.21126903043216205-0.02982688034422218j)</t>
  </si>
  <si>
    <t>(0.16933985178670796-0.0035217035082901523j)</t>
  </si>
  <si>
    <t>(0.20392192061690784-0.02857691340742613j)</t>
  </si>
  <si>
    <t>(0.1761399104921857-0.007090972230442056j)</t>
  </si>
  <si>
    <t>(0.2682604907727053-0.09842222213056945j)</t>
  </si>
  <si>
    <t>(0.16858172830421614-0.0035064232792166306j)</t>
  </si>
  <si>
    <t>(0.20302027545359724-0.028464903356996335j)</t>
  </si>
  <si>
    <t>(0.17535254218151408-0.007061181993147821j)</t>
  </si>
  <si>
    <t>(0.2670263451656223-0.09812504779355996j)</t>
  </si>
  <si>
    <t>(0.16776330193052402-0.003489557927630546j)</t>
  </si>
  <si>
    <t>(0.20203943549899006-0.028338492491014j)</t>
  </si>
  <si>
    <t>(0.17450181443373647-0.007028169017028593j)</t>
  </si>
  <si>
    <t>(0.26568037514244125-0.09777542153617524j)</t>
  </si>
  <si>
    <t>(0.16693666340902547-0.0034722589869964912j)</t>
  </si>
  <si>
    <t>(0.20109278325077629-0.028323167995189552j)</t>
  </si>
  <si>
    <t>(0.1736422592388165-0.00699425379741137j)</t>
  </si>
  <si>
    <t>(0.2643791503160917-0.09753453096745812j)</t>
  </si>
  <si>
    <t>(0.16939281068890133-0.0035152182030819493j)</t>
  </si>
  <si>
    <t>(0.203907455978392-0.028482096163962273j)</t>
  </si>
  <si>
    <t>(0.17618003669794247-0.007075911076516429j)</t>
  </si>
  <si>
    <t>(0.268035574128467-0.09790964825438586j)</t>
  </si>
  <si>
    <t>(0.16872497714680867-0.003502273883981585j)</t>
  </si>
  <si>
    <t>(0.20311632356318055-0.028390255920765745j)</t>
  </si>
  <si>
    <t>(0.1754874512773783-0.007050842860353577j)</t>
  </si>
  <si>
    <t>(0.26697259358573033-0.09768536638774139j)</t>
  </si>
  <si>
    <t>(0.16806327968897983-0.003489480559480539j)</t>
  </si>
  <si>
    <t>(0.2023353919548101-0.028299783147755386j)</t>
  </si>
  <si>
    <t>(0.17480128918276705-0.007026058552733595j)</t>
  </si>
  <si>
    <t>(0.2659193893100624-0.0974631332160219j)</t>
  </si>
  <si>
    <t>(0.1673396145067254-0.003475050615548675j)</t>
  </si>
  <si>
    <t>(0.20147348784213692-0.028194535558854705j)</t>
  </si>
  <si>
    <t>(0.17405000463236941-0.0069979526577955125j)</t>
  </si>
  <si>
    <t>(0.26475118474947035-0.0971874567519197j)</t>
  </si>
  <si>
    <t>(0.16843359243868772-0.0034871349462334373j)</t>
  </si>
  <si>
    <t>(0.20267456796029548-0.02822209043651694j)</t>
  </si>
  <si>
    <t>(0.17516660164791986-0.007018409711056006j)</t>
  </si>
  <si>
    <t>(0.2661186114805587-0.09692190069637557j)</t>
  </si>
  <si>
    <t>(0.16786466046026094-0.0034767419022833767j)</t>
  </si>
  <si>
    <t>(0.20200752822100565-0.028152132471049945j)</t>
  </si>
  <si>
    <t>(0.17457781978700937-0.0069984640851990364j)</t>
  </si>
  <si>
    <t>(0.26524012773163386-0.09677273360162286j)</t>
  </si>
  <si>
    <t>(0.16730024472829785-0.003466444315982818j)</t>
  </si>
  <si>
    <t>(0.2013458357713609-0.028082725806369557j)</t>
  </si>
  <si>
    <t>(0.17399373535377638-0.006978694315297622j)</t>
  </si>
  <si>
    <t>(0.26436809532306826-0.09662425696523247j)</t>
  </si>
  <si>
    <t>(0.16787798412167443-0.006687815712028513j)</t>
  </si>
  <si>
    <t>(0.2542446544375072-0.09205955540072286j)</t>
  </si>
  <si>
    <t>(0.18049994742992315-0.014701489395060052j)</t>
  </si>
  <si>
    <t>(0.48362614857861974-0.2437058362975445j)</t>
  </si>
  <si>
    <t>(0.1671338891585623-0.0066585145394901565j)</t>
  </si>
  <si>
    <t>(0.2529521178573946-0.09218474465058119j)</t>
  </si>
  <si>
    <t>(0.17972817447115164-0.014644465014303063j)</t>
  </si>
  <si>
    <t>(0.47541236585864644-0.24485796589684528j)</t>
  </si>
  <si>
    <t>(0.1664330269237515-0.006633885115007218j)</t>
  </si>
  <si>
    <t>(0.25182984483021587-0.09187351103827107j)</t>
  </si>
  <si>
    <t>(0.17897963922277693-0.014591942626330363j)</t>
  </si>
  <si>
    <t>(0.4703550121379254-0.24335198933653723j)</t>
  </si>
  <si>
    <t>(0.1679842037119159-0.006675685791344278j)</t>
  </si>
  <si>
    <t>(0.25401585558215367-0.09203956701779575j)</t>
  </si>
  <si>
    <t>(0.18060819544094597-0.014671805031280457j)</t>
  </si>
  <si>
    <t>(0.48053301733619636-0.23705559432982737j)</t>
  </si>
  <si>
    <t>(0.16736414407780087-0.006655244426987714j)</t>
  </si>
  <si>
    <t>(0.2530679532608471-0.09193612438857235j)</t>
  </si>
  <si>
    <t>(0.1799512074984102-0.014629318029499131j)</t>
  </si>
  <si>
    <t>(0.477318165194182-0.24517213054085962j)</t>
  </si>
  <si>
    <t>(0.16674454439450637-0.006634111417827602j)</t>
  </si>
  <si>
    <t>(0.2521811279937589-0.09151694249417847j)</t>
  </si>
  <si>
    <t>(0.17929260022029858-0.01458548294618756j)</t>
  </si>
  <si>
    <t>(0.46836842718253857-0.24416596398241863j)</t>
  </si>
  <si>
    <t>(0.16611252990876646-0.006611546814426682j)</t>
  </si>
  <si>
    <t>(0.2513007025664744-0.09125426644813361j)</t>
  </si>
  <si>
    <t>(0.1785946605946207-0.014534196844112168j)</t>
  </si>
  <si>
    <t>(0.46347704361538034-0.24340342940505189j)</t>
  </si>
  <si>
    <t>(0.16770387703712775-0.006648058082007937j)</t>
  </si>
  <si>
    <t>(0.25298346579275366-0.09169668376771595j)</t>
  </si>
  <si>
    <t>(0.18027764028146143-0.014602703651390117j)</t>
  </si>
  <si>
    <t>(0.48441570506080867-0.23836010580052824j)</t>
  </si>
  <si>
    <t>(0.1672046018463651-0.006631349241346846j)</t>
  </si>
  <si>
    <t>(0.2524817260732226-0.09134181544194464j)</t>
  </si>
  <si>
    <t>(0.17974764596136805-0.014569006248673914j)</t>
  </si>
  <si>
    <t>(0.47629400375138675-0.2395120810482667j)</t>
  </si>
  <si>
    <t>(0.16666733967822012-0.0066142039091430915j)</t>
  </si>
  <si>
    <t>(0.2517307448707691-0.09113655063136455j)</t>
  </si>
  <si>
    <t>(0.17917750740294824-0.014533812542380505j)</t>
  </si>
  <si>
    <t>(0.47730210104542836-0.2349497599291861j)</t>
  </si>
  <si>
    <t>(0.1661433669319523-0.006598004829603956j)</t>
  </si>
  <si>
    <t>(0.25095495622692776-0.0911105122659926j)</t>
  </si>
  <si>
    <t>(0.17862319862856735-0.014500802051115307j)</t>
  </si>
  <si>
    <t>(0.48191891977623014-0.24366674652983245j)</t>
  </si>
  <si>
    <t>(0.16614945947179094-0.006575424292102029j)</t>
  </si>
  <si>
    <t>(0.25056599165680815-0.09048794987186748j)</t>
  </si>
  <si>
    <t>(0.17858454244601885-0.014439309432601992j)</t>
  </si>
  <si>
    <t>(0.4834536472515474-0.23094709460503782j)</t>
  </si>
  <si>
    <t>(0.17191504693389703-0.013862173933902613j)</t>
  </si>
  <si>
    <t>(0.4512265891558451-0.24793900383253253j)</t>
  </si>
  <si>
    <t>(0.17120053459797102-0.013811451043634364j)</t>
  </si>
  <si>
    <t>(0.4506182057158694-0.24355666238709184j)</t>
  </si>
  <si>
    <t>(0.17056310123051688-0.013767973818637284j)</t>
  </si>
  <si>
    <t>(0.45210479515123625-0.24666883295585174j)</t>
  </si>
  <si>
    <t>(0.1720866496268747-0.013842640183429374j)</t>
  </si>
  <si>
    <t>(0.4517651846506199-0.2432169984161564j)</t>
  </si>
  <si>
    <t>(0.17155033459838243-0.013810598047409074j)</t>
  </si>
  <si>
    <t>(0.4576543319554669-0.24322521972216726j)</t>
  </si>
  <si>
    <t>(0.17093553957576924-0.013769972400090787j)</t>
  </si>
  <si>
    <t>(0.45194436149320305-0.2359897259087137j)</t>
  </si>
  <si>
    <t>(0.17038058927066335-0.013733985202630585j)</t>
  </si>
  <si>
    <t>(0.450332049862912-0.239413379945696j)</t>
  </si>
  <si>
    <t>(0.17191493177402828-0.01379078509981439j)</t>
  </si>
  <si>
    <t>(0.44983506963907494-0.23499273451276181j)</t>
  </si>
  <si>
    <t>(0.1714312319464142-0.013760728595689161j)</t>
  </si>
  <si>
    <t>(0.45742510273390824-0.2361848790944432j)</t>
  </si>
  <si>
    <t>(0.17092506382910977-0.01373265501499976j)</t>
  </si>
  <si>
    <t>(0.44923395289466717-0.2402479738751815j)</t>
  </si>
  <si>
    <t>(0.17047570446403615-0.013708426380307892j)</t>
  </si>
  <si>
    <t>(0.45033258439331636-0.23475436221037704j)</t>
  </si>
  <si>
    <t>(0.17091178011212604-0.013681159240794216j)</t>
  </si>
  <si>
    <t>(0.4492384572221346-0.2303167433158131j)</t>
  </si>
  <si>
    <t>(0.17053633467893103-0.013662703982965582j)</t>
  </si>
  <si>
    <t>(0.44832337275597123-0.23343301473394007j)</t>
  </si>
  <si>
    <t>(0.1701176734663996-0.013642268040147827j)</t>
  </si>
  <si>
    <t>(0.4462944284679802-0.2406884613996939j)</t>
  </si>
  <si>
    <t>(0.17463188794734208-0.001742495417988152j)</t>
  </si>
  <si>
    <t>(0.19152707769692245-0.010932122360508834j)</t>
  </si>
  <si>
    <t>(0.17800924431009912-0.003449384830881295j)</t>
  </si>
  <si>
    <t>(0.2119750920249306-0.027908764720636192j)</t>
  </si>
  <si>
    <t>(0.1679096577709367-0.001658333102671875j)</t>
  </si>
  <si>
    <t>(0.18397035152537056-0.010403645756989488j)</t>
  </si>
  <si>
    <t>(0.17112493711973875-0.003283854773082337j)</t>
  </si>
  <si>
    <t>(0.20343006478023296-0.02650020690248578j)</t>
  </si>
  <si>
    <t>(0.17743224188322193-0.006598504756887129j)</t>
  </si>
  <si>
    <t>(0.26443933997783553-0.08748229007784691j)</t>
  </si>
  <si>
    <t>(0.1704232528835914-0.006281923389267304j)</t>
  </si>
  <si>
    <t>(0.2525544683200025-0.08310165021252236j)</t>
  </si>
  <si>
    <t>(0.16954807198029176-0.0062522543324096715j)</t>
  </si>
  <si>
    <t>(0.25142196593872557-0.08283661999218284j)</t>
  </si>
  <si>
    <t>(0.18137386279550483-0.01373220165485528j)</t>
  </si>
  <si>
    <t>(0.44737171370030193-0.21780319523118763j)</t>
  </si>
  <si>
    <t>(0.17486829926866276-0.013113561887932623j)</t>
  </si>
  <si>
    <t>(0.4119913869269056-0.1970567686467053j)</t>
  </si>
  <si>
    <t>(0.1740169759981054-0.013058117699483847j)</t>
  </si>
  <si>
    <t>(0.4241643947569367-0.21231463828385122j)</t>
  </si>
  <si>
    <t>(0.17311254210198168-0.012999060031321064j)</t>
  </si>
  <si>
    <t>(0.4105816814697909-0.20685001221939547j)</t>
  </si>
  <si>
    <t>(0.17314288509562337-0.012965197215426185j)</t>
  </si>
  <si>
    <t>(0.41371547918461693-0.20299641269720636j)</t>
  </si>
  <si>
    <t>(0.16760481049895004-0.012461832776041987j)</t>
  </si>
  <si>
    <t>(0.39802245325723895-0.21676765936116826j)</t>
  </si>
  <si>
    <t>(0.16672376850550474-0.012405757051378266j)</t>
  </si>
  <si>
    <t>(0.4061626931639468-0.2122564728618812j)</t>
  </si>
  <si>
    <t>(0.16625763250070413-0.012344222751150914j)</t>
  </si>
  <si>
    <t>(0.38682474009890466-0.20668086490398885j)</t>
  </si>
  <si>
    <t>S99</t>
  </si>
  <si>
    <t>(0.18154571440636103-0.0018549114320641534j)</t>
  </si>
  <si>
    <t>(0.1995240036939756-0.011645609355764086j)</t>
  </si>
  <si>
    <t>(0.1814961194147533-0.0018498428213621042j)</t>
  </si>
  <si>
    <t>(0.1994196600157907-0.011603430490357669j)</t>
  </si>
  <si>
    <t>(0.17625229390862396-0.0017811246595807757j)</t>
  </si>
  <si>
    <t>(0.19350517404358314-0.01117869581726233j)</t>
  </si>
  <si>
    <t>(0.1797051851425322-0.0035265615691830177j)</t>
  </si>
  <si>
    <t>(0.21434975353013486-0.028443508933385736j)</t>
  </si>
  <si>
    <t>(0.17530190873080898-0.0017713051848345465j)</t>
  </si>
  <si>
    <t>(0.19250908218282214-0.011099409283844841j)</t>
  </si>
  <si>
    <t>(0.1787358510221706-0.0035075122062331516j)</t>
  </si>
  <si>
    <t>(0.213198492926838-0.028304646035121173j)</t>
  </si>
  <si>
    <t>(0.17436123880329646-0.001761619027479469j)</t>
  </si>
  <si>
    <t>(0.19147223906567845-0.011045507749482097j)</t>
  </si>
  <si>
    <t>(0.17777648920587796-0.003488716184594564j)</t>
  </si>
  <si>
    <t>(0.2120490085059934-0.02816991651357892j)</t>
  </si>
  <si>
    <t>(0.1734314933225325-0.0017520743157414418j)</t>
  </si>
  <si>
    <t>(0.19042181392650992-0.011007063528648053j)</t>
  </si>
  <si>
    <t>(0.17682831998178905-0.003470186514679225j)</t>
  </si>
  <si>
    <t>(0.21102598707190223-0.02800543583883952j)</t>
  </si>
  <si>
    <t>(0.17431432898624521-0.0017569369403576595j)</t>
  </si>
  <si>
    <t>(0.19137053063702814-0.011009054941232j)</t>
  </si>
  <si>
    <t>(0.1777204055508903-0.003478875597804684j)</t>
  </si>
  <si>
    <t>(0.21188911225558682-0.028042365423083915j)</t>
  </si>
  <si>
    <t>(0.1735510313605202-0.001749521233003394j)</t>
  </si>
  <si>
    <t>(0.19051210679629538-0.010980939855460725j)</t>
  </si>
  <si>
    <t>(0.17694281246619736-0.003464556109549988j)</t>
  </si>
  <si>
    <t>(0.211068297486404-0.027918727431613777j)</t>
  </si>
  <si>
    <t>(0.16834510863908303-0.0016830093580120107j)</t>
  </si>
  <si>
    <t>(0.18463254776203963-0.010568523209487923j)</t>
  </si>
  <si>
    <t>(0.17160849669699219-0.0033334790953701184j)</t>
  </si>
  <si>
    <t>(0.20434439609300403-0.026827995926409276j)</t>
  </si>
  <si>
    <t>(0.17801357757830072-0.00669813558500118j)</t>
  </si>
  <si>
    <t>(0.26555427079690896-0.08921769609312635j)</t>
  </si>
  <si>
    <t>(0.1674664818185978-0.0016742210228907518j)</t>
  </si>
  <si>
    <t>(0.18369270460072595-0.010502719560001816j)</t>
  </si>
  <si>
    <t>(0.17071295200753478-0.0033164356624008073j)</t>
  </si>
  <si>
    <t>(0.20327171516213616-0.026709183432240935j)</t>
  </si>
  <si>
    <t>(0.1770848392649449-0.006664967579208238j)</t>
  </si>
  <si>
    <t>(0.2640998397224319-0.08889963269159651j)</t>
  </si>
  <si>
    <t>(0.16659770109638794-0.0016655567999635185j)</t>
  </si>
  <si>
    <t>(0.18274238096159268-0.010452623557805185j)</t>
  </si>
  <si>
    <t>(0.16982749187908497-0.0032996277897058193j)</t>
  </si>
  <si>
    <t>(0.20222268937928312-0.026586893456154836j)</t>
  </si>
  <si>
    <t>(0.17616663229298402-0.006632242208572151j)</t>
  </si>
  <si>
    <t>(0.26266421197521383-0.0885870235249453j)</t>
  </si>
  <si>
    <t>(0.1674181496674192-0.0016699199333371634j)</t>
  </si>
  <si>
    <t>(0.18360014881716702-0.010467851019453689j)</t>
  </si>
  <si>
    <t>(0.17065610834741785-0.0033073624738060633j)</t>
  </si>
  <si>
    <t>(0.20312319963153236-0.026591714541088995j)</t>
  </si>
  <si>
    <t>(0.1770144488807266-0.006644864811526966j)</t>
  </si>
  <si>
    <t>(0.26366306332218836-0.08835033530757119j)</t>
  </si>
  <si>
    <t>(0.16670514958531202-0.0016631980540046977j)</t>
  </si>
  <si>
    <t>(0.18282439769271663-0.010429917076449136j)</t>
  </si>
  <si>
    <t>(0.16993018396334758-0.0032943911325132927j)</t>
  </si>
  <si>
    <t>(0.2022723343180557-0.026501797113219205j)</t>
  </si>
  <si>
    <t>(0.17626327237963935-0.006619857013508109j)</t>
  </si>
  <si>
    <t>(0.2625258507178696-0.08814528192640458j)</t>
  </si>
  <si>
    <t>(0.16993914937915666-0.0063409425554732425j)</t>
  </si>
  <si>
    <t>(0.25229238657124986-0.0841289257178719j)</t>
  </si>
  <si>
    <t>(0.18192991117766577-0.013903387603887703j)</t>
  </si>
  <si>
    <t>(0.46701175708846776-0.2196034043027213j)</t>
  </si>
  <si>
    <t>(0.16912353477269848-0.006308465121344881j)</t>
  </si>
  <si>
    <t>(0.25103145020514805-0.08385059639318548j)</t>
  </si>
  <si>
    <t>(0.18106079390989072-0.01383841438606958j)</t>
  </si>
  <si>
    <t>(0.43264646357105696-0.21952570794259918j)</t>
  </si>
  <si>
    <t>(0.16825917742957008-0.006279055932488321j)</t>
  </si>
  <si>
    <t>(0.2491848140272792-0.08439998916542746j)</t>
  </si>
  <si>
    <t>(0.1801586293183306-0.013777397648721837j)</t>
  </si>
  <si>
    <t>(0.4286099309478808-0.213349149282974j)</t>
  </si>
  <si>
    <t>(0.1698615414008562-0.006319450314878331j)</t>
  </si>
  <si>
    <t>(0.25176831233172514-0.08389813846470484j)</t>
  </si>
  <si>
    <t>(0.1818171933757542-0.013851457902715109j)</t>
  </si>
  <si>
    <t>(0.45923143386195564-0.2184224291970036j)</t>
  </si>
  <si>
    <t>(0.16914030173314343-0.006294848935672802j)</t>
  </si>
  <si>
    <t>(0.2506599652714685-0.0836487158910384j)</t>
  </si>
  <si>
    <t>(0.18105169225299544-0.013800284806907495j)</t>
  </si>
  <si>
    <t>(0.44506147573896504-0.21548399587560763j)</t>
  </si>
  <si>
    <t>(0.16845057260467744-0.006272591640183695j)</t>
  </si>
  <si>
    <t>(0.24976054540410697-0.08321483744205649j)</t>
  </si>
  <si>
    <t>(0.18031866173947453-0.013753687037118715j)</t>
  </si>
  <si>
    <t>(0.4464627807360162-0.21648475705405978j)</t>
  </si>
  <si>
    <t>(0.16813927612284285-0.006243672243327173j)</t>
  </si>
  <si>
    <t>(0.24863605668895006-0.08279330134952012j)</t>
  </si>
  <si>
    <t>(0.17995340468222132-0.013682507280511843j)</t>
  </si>
  <si>
    <t>(0.4332720308607301-0.20369196745779616j)</t>
  </si>
  <si>
    <t>(0.1742840626816049-0.01319067892418745j)</t>
  </si>
  <si>
    <t>(0.4161188369051363-0.2037940999292025j)</t>
  </si>
  <si>
    <t>(0.1735350920208889-0.013144312347737698j)</t>
  </si>
  <si>
    <t>(0.41356884552274176-0.20492345292434466j)</t>
  </si>
  <si>
    <t>(0.17279202213477318-0.013096289213820674j)</t>
  </si>
  <si>
    <t>(0.42488586726660094-0.2261013408961734j)</t>
  </si>
  <si>
    <t>(0.172003160932662-0.013042956981514291j)</t>
  </si>
  <si>
    <t>(0.4086764769170854-0.20948230093376452j)</t>
  </si>
  <si>
    <t>(0.17421604943616265-0.01315127419375765j)</t>
  </si>
  <si>
    <t>(0.43419455934192586-0.21950211551992505j)</t>
  </si>
  <si>
    <t>(0.17357446257489317-0.013111070613699328j)</t>
  </si>
  <si>
    <t>(0.4137682100273832-0.20207328468391061j)</t>
  </si>
  <si>
    <t>(0.17291338682969326-0.0130682452967033j)</t>
  </si>
  <si>
    <t>(0.4335389936875844-0.22075552885091865j)</t>
  </si>
  <si>
    <t>(0.17227216217692964-0.013034104450344357j)</t>
  </si>
  <si>
    <t>(0.40998979152342274-0.20686596670389878j)</t>
  </si>
  <si>
    <t>(0.17257203157235734-0.013005202909710824j)</t>
  </si>
  <si>
    <t>(0.42157614401078125-0.21134622053878438j)</t>
  </si>
  <si>
    <t>(0.17206150305358658-0.012979016656948377j)</t>
  </si>
  <si>
    <t>(0.41718927913880743-0.21052429646622217j)</t>
  </si>
  <si>
    <t>(0.16627162931260786-0.01247981026736866j)</t>
  </si>
  <si>
    <t>(0.3892351991437728-0.21469774955194065j)</t>
  </si>
  <si>
    <t>(0.16627642898531136-0.012451601126849232j)</t>
  </si>
  <si>
    <t>(0.4048349601737238-0.21151294899841755j)</t>
  </si>
  <si>
    <t>(0.18181334828369944-0.0018804128510497595j)</t>
  </si>
  <si>
    <t>(0.20005259532144404-0.01181128035076906j)</t>
  </si>
  <si>
    <t>(0.18081266262197326-0.0018695197935631775j)</t>
  </si>
  <si>
    <t>(0.1989498917851158-0.011748131135983858j)</t>
  </si>
  <si>
    <t>(0.17989795107888695-0.0018597751845165272j)</t>
  </si>
  <si>
    <t>(0.19794417113111362-0.011692064098741656j)</t>
  </si>
  <si>
    <t>(0.18169453705986838-0.0018746897570165507j)</t>
  </si>
  <si>
    <t>(0.19987215335335917-0.011764772771789361j)</t>
  </si>
  <si>
    <t>(0.18087290671773482-0.001866180790363574j)</t>
  </si>
  <si>
    <t>(0.19897148466236514-0.011716588766431807j)</t>
  </si>
  <si>
    <t>(0.1800585885586099-0.0018577682437007966j)</t>
  </si>
  <si>
    <t>(0.19807899631260062-0.01166890379645949j)</t>
  </si>
  <si>
    <t>(0.17966273957476253-0.0018485725452332792j)</t>
  </si>
  <si>
    <t>(0.19758844704815126-0.011600960494255297j)</t>
  </si>
  <si>
    <t>(0.1733621174697597-0.0017716927515230969j)</t>
  </si>
  <si>
    <t>(0.19055500298892025-0.011134095063213861j)</t>
  </si>
  <si>
    <t>(0.17679761008116035-0.0035103892699393418j)</t>
  </si>
  <si>
    <t>(0.21131540567875495-0.028313377058870437j)</t>
  </si>
  <si>
    <t>(0.17250980488962875-0.0017629283968489218j)</t>
  </si>
  <si>
    <t>(0.1896208294066235-0.011083737107830893j)</t>
  </si>
  <si>
    <t>(0.17592841374442258-0.0034934014056150304j)</t>
  </si>
  <si>
    <t>(0.21028414376810045-0.028189063972196227j)</t>
  </si>
  <si>
    <t>(0.17166673364782103-0.0017542832840871138j)</t>
  </si>
  <si>
    <t>(0.18869699304123033-0.011034018409085827j)</t>
  </si>
  <si>
    <t>(0.17506868806864095-0.0034766400102952035j)</t>
  </si>
  <si>
    <t>(0.20926441620898162-0.028066230371630696j)</t>
  </si>
  <si>
    <t>(0.18178037040667827-0.0069939506683368855j)</t>
  </si>
  <si>
    <t>(0.27318633580038876-0.09463980488505125j)</t>
  </si>
  <si>
    <t>(0.17418421155295527-0.0017762654054588843j)</t>
  </si>
  <si>
    <t>(0.19141295317302442-0.011148171318691391j)</t>
  </si>
  <si>
    <t>(0.17762833106068032-0.003518456740414359j)</t>
  </si>
  <si>
    <t>(0.21220929678116063-0.028319292224627535j)</t>
  </si>
  <si>
    <t>(0.17341834369495834-0.0017686114804788301j)</t>
  </si>
  <si>
    <t>(0.19057596396612841-0.011104872168929525j)</t>
  </si>
  <si>
    <t>(0.17684772911540358-0.003503674612131853j)</t>
  </si>
  <si>
    <t>(0.21128864126227898-0.028214589654473432j)</t>
  </si>
  <si>
    <t>(0.17265933900133734-0.0017610435640486874j)</t>
  </si>
  <si>
    <t>(0.1897466116370652-0.011062015388760504j)</t>
  </si>
  <si>
    <t>(0.17607415545391847-0.0034890545585509703j)</t>
  </si>
  <si>
    <t>(0.21037646645456443-0.02811089829852706j)</t>
  </si>
  <si>
    <t>(0.17197748680567293-0.0017544621564414948j)</t>
  </si>
  <si>
    <t>(0.18900389840718645-0.011025270149549515j)</t>
  </si>
  <si>
    <t>(0.17537964287699315-0.003476376135568441j)</t>
  </si>
  <si>
    <t>(0.2095623531868802-0.02802329547165311j)</t>
  </si>
  <si>
    <t>(0.17236032099943044-0.0017535617374137493j)</t>
  </si>
  <si>
    <t>(0.1893702418226717-0.011005520602724j)</t>
  </si>
  <si>
    <t>(0.17576052398631958-0.0034736717744672267j)</t>
  </si>
  <si>
    <t>(0.20990106737521907-0.02793939885028332j)</t>
  </si>
  <si>
    <t>(0.1717044869040374-0.0017473116144026903j)</t>
  </si>
  <si>
    <t>(0.18865666723795194-0.010970793852054267j)</t>
  </si>
  <si>
    <t>(0.17509266849342198-0.0034616469800836614j)</t>
  </si>
  <si>
    <t>(0.20912008716925934-0.027857631384817366j)</t>
  </si>
  <si>
    <t>(0.18177478214423104-0.006959552726507953j)</t>
  </si>
  <si>
    <t>(0.2725421207377279-0.0935741887883802j)</t>
  </si>
  <si>
    <t>(0.1662472299761193-0.0016808201225958271j)</t>
  </si>
  <si>
    <t>(0.1825321868330525-0.010560008288651584j)</t>
  </si>
  <si>
    <t>(0.16950684578159114-0.0033308928529222227j)</t>
  </si>
  <si>
    <t>(0.20221753240423745-0.026781955910711586j)</t>
  </si>
  <si>
    <t>(0.17590862282944375-0.006696419052776387j)</t>
  </si>
  <si>
    <t>(0.26287305698608643-0.09000783463236506j)</t>
  </si>
  <si>
    <t>(0.16869962002283434-0.003315619296965928j)</t>
  </si>
  <si>
    <t>(0.20126671867760604-0.026670976994305817j)</t>
  </si>
  <si>
    <t>(0.17508990560535787-0.006668288217897702j)</t>
  </si>
  <si>
    <t>(0.2615887297745383-0.0897285015163119j)</t>
  </si>
  <si>
    <t>(0.1679462550365407-0.003300808653161103j)</t>
  </si>
  <si>
    <t>(0.20044275614325802-0.02659229609710259j)</t>
  </si>
  <si>
    <t>(0.17432736768406532-0.006641177470341273j)</t>
  </si>
  <si>
    <t>(0.2604956703420105-0.08947660646933114j)</t>
  </si>
  <si>
    <t>(0.16715946195478182-0.003286499167011748j)</t>
  </si>
  <si>
    <t>(0.1994834080943475-0.02646724355259672j)</t>
  </si>
  <si>
    <t>(0.17350478156822735-0.00661240015270043j)</t>
  </si>
  <si>
    <t>(0.25918431123869423-0.08923285953311738j)</t>
  </si>
  <si>
    <t>(0.16629552230837863-0.0016779587139807853j)</t>
  </si>
  <si>
    <t>(0.18255240124547956-0.010532921397386319j)</t>
  </si>
  <si>
    <t>(0.16954943662082966-0.0033246619171678577j)</t>
  </si>
  <si>
    <t>(0.20219469486081332-0.026692054648186386j)</t>
  </si>
  <si>
    <t>(0.17594325478499306-0.006682038538747656j)</t>
  </si>
  <si>
    <t>(0.2626407430785693-0.0895456981282805j)</t>
  </si>
  <si>
    <t>(0.1688306545474203-0.003311509476055797j)</t>
  </si>
  <si>
    <t>(0.20135318882717756-0.02659951264560434j)</t>
  </si>
  <si>
    <t>(0.17519888682142293-0.006656624272598093j)</t>
  </si>
  <si>
    <t>(0.2615194432631889-0.08932798224410482j)</t>
  </si>
  <si>
    <t>(0.1681861606192636-0.0033001365885548676j)</t>
  </si>
  <si>
    <t>(0.20060079827835775-0.026521346370262017j)</t>
  </si>
  <si>
    <t>(0.1745576517791021-0.0066369559275718795j)</t>
  </si>
  <si>
    <t>(0.26052777329182186-0.08915888339983985j)</t>
  </si>
  <si>
    <t>(0.16755511503495435-0.0032891387007727884j)</t>
  </si>
  <si>
    <t>(0.19989461066816583-0.02656713870029323j)</t>
  </si>
  <si>
    <t>(0.1739053992303885-0.00661578745152894j)</t>
  </si>
  <si>
    <t>(0.2596031737801394-0.0891457216087061j)</t>
  </si>
  <si>
    <t>(0.1685356566291909-0.003297464590472787j)</t>
  </si>
  <si>
    <t>(0.20091535176189468-0.026444175577033935j)</t>
  </si>
  <si>
    <t>(0.17490149354277573-0.00662869767257572j)</t>
  </si>
  <si>
    <t>(0.2606907596883945-0.08865674306126659j)</t>
  </si>
  <si>
    <t>(0.16796991457554267-0.0032874921340546965j)</t>
  </si>
  <si>
    <t>(0.20028146478934783-0.026385227171437542j)</t>
  </si>
  <si>
    <t>(0.1743164535440931-0.0066096357781991345j)</t>
  </si>
  <si>
    <t>(0.25986601846858526-0.08855234289527308j)</t>
  </si>
  <si>
    <t>(0.16743639164894386-0.003279310801922338j)</t>
  </si>
  <si>
    <t>(0.19966363398489895-0.02632809303987385j)</t>
  </si>
  <si>
    <t>(0.1737681420917876-0.006594203343892416j)</t>
  </si>
  <si>
    <t>(0.2590529993567676-0.0884824194999807j)</t>
  </si>
  <si>
    <t>(0.16778151730059676-0.006329595112467135j)</t>
  </si>
  <si>
    <t>(0.24921762416721815-0.08488135678027142j)</t>
  </si>
  <si>
    <t>(0.1797610036014503-0.013877150252962338j)</t>
  </si>
  <si>
    <t>(0.44937988953670205-0.2170890738393222j)</t>
  </si>
  <si>
    <t>(0.16708221417719282-0.00630621144691675j)</t>
  </si>
  <si>
    <t>(0.24817682065286362-0.08469900244558937j)</t>
  </si>
  <si>
    <t>(0.1790199024470931-0.013828487756109533j)</t>
  </si>
  <si>
    <t>(0.44571927964314106-0.23310331080656077j)</t>
  </si>
  <si>
    <t>(0.16631127925558475-0.006279078100713158j)</t>
  </si>
  <si>
    <t>(0.247049297446428-0.08449118913529358j)</t>
  </si>
  <si>
    <t>(0.17819598041985474-0.0137706836054041j)</t>
  </si>
  <si>
    <t>(0.4437341888347621-0.23057443231186558j)</t>
  </si>
  <si>
    <t>(0.16789304292657903-0.006319953889198209j)</t>
  </si>
  <si>
    <t>(0.24916303981472754-0.08452574661893186j)</t>
  </si>
  <si>
    <t>(0.1798560188439-0.013849157131018577j)</t>
  </si>
  <si>
    <t>(0.44803681778713766-0.2265791119664513j)</t>
  </si>
  <si>
    <t>(0.16734829188501554-0.006303679888549831j)</t>
  </si>
  <si>
    <t>(0.24831154116089915-0.08457612983639867j)</t>
  </si>
  <si>
    <t>(0.1792773337882354-0.013815562899565174j)</t>
  </si>
  <si>
    <t>(0.43921919892315575-0.227172084006654j)</t>
  </si>
  <si>
    <t>(0.1666554695086313-0.006279802523807043j)</t>
  </si>
  <si>
    <t>(0.2473372470726325-0.08421615231145213j)</t>
  </si>
  <si>
    <t>(0.17854052375601692-0.01376559745617353j)</t>
  </si>
  <si>
    <t>(0.44557671050774084-0.21937654409894158j)</t>
  </si>
  <si>
    <t>(0.16607268751476756-0.006262565359905487j)</t>
  </si>
  <si>
    <t>(0.24652237439202507-0.08418265291987037j)</t>
  </si>
  <si>
    <t>(0.1779254615536192-0.013730301182678983j)</t>
  </si>
  <si>
    <t>(0.44325869247296223-0.23256026939232488j)</t>
  </si>
  <si>
    <t>(0.16759273793110152-0.006292140651822921j)</t>
  </si>
  <si>
    <t>(0.24843602747905957-0.08398764316999163j)</t>
  </si>
  <si>
    <t>(0.17950286679646044-0.01378022123799696j)</t>
  </si>
  <si>
    <t>(0.44706429204556564-0.21729051258807852j)</t>
  </si>
  <si>
    <t>(0.1671440868382259-0.006280837518552862j)</t>
  </si>
  <si>
    <t>(0.24780246236674053-0.08402727262727588j)</t>
  </si>
  <si>
    <t>(0.17903069304287333-0.013757834146317786j)</t>
  </si>
  <si>
    <t>(0.45377426299990686-0.21993815170700348j)</t>
  </si>
  <si>
    <t>(0.16655978121713577-0.006262720129037094j)</t>
  </si>
  <si>
    <t>(0.2469625915607394-0.08387026333527803j)</t>
  </si>
  <si>
    <t>(0.17841288229889418-0.013720877611777923j)</t>
  </si>
  <si>
    <t>(0.44465424000118636-0.2226916198471216j)</t>
  </si>
  <si>
    <t>(0.1661012579393768-0.006249783302589789j)</t>
  </si>
  <si>
    <t>(0.24629477297577784-0.0838414873262811j)</t>
  </si>
  <si>
    <t>(0.1779300546322029-0.013695213975103638j)</t>
  </si>
  <si>
    <t>(0.4478149050977771-0.23018315911453424j)</t>
  </si>
  <si>
    <t>(0.16608867903463098-0.006227232206478008j)</t>
  </si>
  <si>
    <t>(0.24583379149202922-0.08308663356366275j)</t>
  </si>
  <si>
    <t>(0.17784881922220408-0.013629749528441678j)</t>
  </si>
  <si>
    <t>(0.4469845498540963-0.21384419946201827j)</t>
  </si>
  <si>
    <t>(0.1714387649921798-0.013117127478192714j)</t>
  </si>
  <si>
    <t>(0.4180708930488737-0.2271981449974947j)</t>
  </si>
  <si>
    <t>(0.17068811465198275-0.013068131904445043j)</t>
  </si>
  <si>
    <t>(0.41983944129879536-0.218507063502408j)</t>
  </si>
  <si>
    <t>(0.17005099751168018-0.013030787248968011j)</t>
  </si>
  <si>
    <t>(0.4229912300617742-0.23738719199321778j)</t>
  </si>
  <si>
    <t>(0.17163260073543452-0.013103738922743656j)</t>
  </si>
  <si>
    <t>(0.4292425423699471-0.2303411139870073j)</t>
  </si>
  <si>
    <t>(0.17103039360515604-0.013067357515858977j)</t>
  </si>
  <si>
    <t>(0.41769958923300177-0.2260034358436307j)</t>
  </si>
  <si>
    <t>(0.1704207377544953-0.013028544071521394j)</t>
  </si>
  <si>
    <t>(0.4192378822221814-0.21646588172805936j)</t>
  </si>
  <si>
    <t>(0.169871893781133-0.012999629845406981j)</t>
  </si>
  <si>
    <t>(0.4266498913269996-0.24191507982771676j)</t>
  </si>
  <si>
    <t>(0.17137279844546405-0.013045565297694997j)</t>
  </si>
  <si>
    <t>(0.42217577942171625-0.21047398215543245j)</t>
  </si>
  <si>
    <t>(0.17086357688836307-0.013017522998393037j)</t>
  </si>
  <si>
    <t>(0.42071522348144597-0.2113256218704913j)</t>
  </si>
  <si>
    <t>(0.17043531970627557-0.012997411601134868j)</t>
  </si>
  <si>
    <t>(0.42482779034962115-0.22081010403502388j)</t>
  </si>
  <si>
    <t>(0.16994170881229653-0.012972282189462407j)</t>
  </si>
  <si>
    <t>(0.4180702998539685-0.21507619246461607j)</t>
  </si>
  <si>
    <t>(0.17031660315037556-0.012936727583016384j)</t>
  </si>
  <si>
    <t>(0.42415871691047524-0.22025001844446157j)</t>
  </si>
  <si>
    <t>(0.16998334760975187-0.012927228200717929j)</t>
  </si>
  <si>
    <t>(0.41970682588808184-0.21427375940618543j)</t>
  </si>
  <si>
    <t>(0.16961729788594604-0.012909918858996665j)</t>
  </si>
  <si>
    <t>(0.4186198549129623-0.2154266695893572j)</t>
  </si>
  <si>
    <t>(0.17576424801030832-0.00191064165417275j)</t>
  </si>
  <si>
    <t>(0.19431320291392584-0.01205783257516918j)</t>
  </si>
  <si>
    <t>(0.1794697814347388-0.003787206517672047j)</t>
  </si>
  <si>
    <t>(0.2167530787038352-0.031017922865555325j)</t>
  </si>
  <si>
    <t>(0.16883989431734614-0.001812897119621809j)</t>
  </si>
  <si>
    <t>(0.1864280319185716-0.01142886938395149j)</t>
  </si>
  <si>
    <t>(0.17235663911190846-0.003594108823451231j)</t>
  </si>
  <si>
    <t>(0.207712779896426-0.02933178506569767j)</t>
  </si>
  <si>
    <t>(0.17926459985700616-0.007235451013833256j)</t>
  </si>
  <si>
    <t>(0.27447800742781725-0.10042795448861419j)</t>
  </si>
  <si>
    <t>(0.16792625227760682-0.001802730452841273j)</t>
  </si>
  <si>
    <t>(0.18541830222362088-0.011369002251424232j)</t>
  </si>
  <si>
    <t>(0.17142339574278576-0.0035743125155855947j)</t>
  </si>
  <si>
    <t>(0.2065886032627844-0.02918170812079446j)</t>
  </si>
  <si>
    <t>(0.1782927900759499-0.007196662193988186j)</t>
  </si>
  <si>
    <t>(0.2729367692642799-0.10000771611637838j)</t>
  </si>
  <si>
    <t>(0.17208247679698196-0.006871384729612202j)</t>
  </si>
  <si>
    <t>(0.2619556508480758-0.09485289169287925j)</t>
  </si>
  <si>
    <t>(0.17118390528503702-0.006836563203893021j)</t>
  </si>
  <si>
    <t>(0.2605310061062054-0.09448407900655642j)</t>
  </si>
  <si>
    <t>(0.17750777768813641-0.01436978906893149j)</t>
  </si>
  <si>
    <t>(0.4634896940554145-0.22674816768125705j)</t>
  </si>
  <si>
    <t>(0.17662333065618774-0.01430436700323184j)</t>
  </si>
  <si>
    <t>(0.47551866225084094-0.24169232281519815j)</t>
  </si>
  <si>
    <t>(0.17575203947359253-0.014240846947973087j)</t>
  </si>
  <si>
    <t>(0.46769360243099856-0.23735907521187993j)</t>
  </si>
  <si>
    <t>(0.17569039428333788-0.014192539566030987j)</t>
  </si>
  <si>
    <t>(0.4506262897872837-0.22211790620830207j)</t>
  </si>
  <si>
    <t>(0.17011113626065022-0.013631766888215449j)</t>
  </si>
  <si>
    <t>(0.46570236550730026-0.22580520675476334j)</t>
  </si>
  <si>
    <t>(0.16927536749358074-0.013569227511178186j)</t>
  </si>
  <si>
    <t>(0.44231214367174543-0.2299948630339772j)</t>
  </si>
  <si>
    <t>(0.16851003336620618-0.013515742098214968j)</t>
  </si>
  <si>
    <t>(0.43800180696461677-0.229307684914402j)</t>
  </si>
  <si>
    <t>(0.16762693558048847-0.01345213724362436j)</t>
  </si>
  <si>
    <t>(0.42920560586813705-0.22632114900603462j)</t>
  </si>
  <si>
    <t>(0.1685123088259166-0.013482575796479948j)</t>
  </si>
  <si>
    <t>(0.45136334475289885-0.23907913438551986j)</t>
  </si>
  <si>
    <t>(0.16774831939028045-0.01342707969622849j)</t>
  </si>
  <si>
    <t>(0.4242908083058765-0.218506609997406j)</t>
  </si>
  <si>
    <t>KC08</t>
  </si>
  <si>
    <t>(0.17679310379191215-0.0019492125302230101j)</t>
  </si>
  <si>
    <t>(0.19571906815815998-0.012301446379204717j)</t>
  </si>
  <si>
    <t>(0.18057394123867976-0.003864173527601421j)</t>
  </si>
  <si>
    <t>(0.21857283723785104-0.03164197086282031j)</t>
  </si>
  <si>
    <t>(0.17587807788273224-0.0019385104601420079j)</t>
  </si>
  <si>
    <t>(0.19470344453219557-0.012238647048046988j)</t>
  </si>
  <si>
    <t>(0.17963826782603176-0.0038433386280451514j)</t>
  </si>
  <si>
    <t>(0.2174375153267487-0.03148359038118703j)</t>
  </si>
  <si>
    <t>(0.17489965639662408-0.0019269040161142216j)</t>
  </si>
  <si>
    <t>(0.19361562163665114-0.012169996814239914j)</t>
  </si>
  <si>
    <t>(0.1786374450534336-0.0038207033334368094j)</t>
  </si>
  <si>
    <t>(0.21621915801682556-0.031309035682026726j)</t>
  </si>
  <si>
    <t>(0.17486419723039281-0.0019219759553221398j)</t>
  </si>
  <si>
    <t>(0.1935266920028187-0.012128451079071512j)</t>
  </si>
  <si>
    <t>(0.17859230045141494-0.003810309644628671j)</t>
  </si>
  <si>
    <t>(0.21606087721104572-0.03117198519306988j)</t>
  </si>
  <si>
    <t>(0.1687258958671778-0.0018360165261270848j)</t>
  </si>
  <si>
    <t>(0.18651767323299184-0.011587340626264292j)</t>
  </si>
  <si>
    <t>(0.17228760767777507-0.0036404783790171267j)</t>
  </si>
  <si>
    <t>(0.20803122359901738-0.02971734489605332j)</t>
  </si>
  <si>
    <t>(0.179285954047548-0.007329618493569685j)</t>
  </si>
  <si>
    <t>(0.27535180216078325-0.1027168275659972j)</t>
  </si>
  <si>
    <t>(0.16781838974964636-0.0018256368744443653j)</t>
  </si>
  <si>
    <t>(0.18555527476371214-0.01150861248951554j)</t>
  </si>
  <si>
    <t>(0.17136008549753567-0.003620244270994755j)</t>
  </si>
  <si>
    <t>(0.20690394823159952-0.029564273018396314j)</t>
  </si>
  <si>
    <t>(0.1783190395373151-0.007289901610489169j)</t>
  </si>
  <si>
    <t>(0.27377680712308683-0.1022702480524047j)</t>
  </si>
  <si>
    <t>(0.16699004292372255-0.001816383707525412j)</t>
  </si>
  <si>
    <t>(0.18461138836782798-0.011465990418864147j)</t>
  </si>
  <si>
    <t>(0.17051390319056603-0.0036022321772662723j)</t>
  </si>
  <si>
    <t>(0.20598283376347926-0.02941780390619586j)</t>
  </si>
  <si>
    <t>(0.17743774816965097-0.007254641118761909j)</t>
  </si>
  <si>
    <t>(0.2723529258308537-0.10189056688177706j)</t>
  </si>
  <si>
    <t>(0.16784977638816634-0.001822064300960772j)</t>
  </si>
  <si>
    <t>(0.18554683307100128-0.011478745630298992j)</t>
  </si>
  <si>
    <t>(0.1713843817927314-0.0036125799136046983j)</t>
  </si>
  <si>
    <t>(0.2068509573121995-0.02945496827777261j)</t>
  </si>
  <si>
    <t>(0.17833255475131948-0.007272474735299541j)</t>
  </si>
  <si>
    <t>(0.2734812316765396-0.1016887754066298j)</t>
  </si>
  <si>
    <t>(0.16704349142667896-0.001813113202598974j)</t>
  </si>
  <si>
    <t>(0.18463175626489048-0.011436232543137637j)</t>
  </si>
  <si>
    <t>(0.17056084275462635-0.003595168346194808j)</t>
  </si>
  <si>
    <t>(0.20594707410205126-0.029317267607218006j)</t>
  </si>
  <si>
    <t>(0.17747515475098408-0.007238444487862546j)</t>
  </si>
  <si>
    <t>(0.272108143544717-0.10132838256071869j)</t>
  </si>
  <si>
    <t>(0.17097004826259954-0.006911741479086396j)</t>
  </si>
  <si>
    <t>(0.26078473166327276-0.09642177926991113j)</t>
  </si>
  <si>
    <t>(0.17015552081842733-0.006880382109890273j)</t>
  </si>
  <si>
    <t>(0.25964624031101136-0.09593649162868123j)</t>
  </si>
  <si>
    <t>(0.16936313873768105-0.0068497875374021605j)</t>
  </si>
  <si>
    <t>(0.25795451371129685-0.09619923013375431j)</t>
  </si>
  <si>
    <t>(0.17092809257712394-0.0068935818584161465j)</t>
  </si>
  <si>
    <t>(0.26045667994974275-0.0958673336834055j)</t>
  </si>
  <si>
    <t>(0.17025610674273883-0.006868805523758367j)</t>
  </si>
  <si>
    <t>(0.2593958915875909-0.09564330175523938j)</t>
  </si>
  <si>
    <t>(0.16953892510125734-0.006840742903832535j)</t>
  </si>
  <si>
    <t>(0.258543948938754-0.09521088975715952j)</t>
  </si>
  <si>
    <t>(0.16924453558761332-0.006812142981870557j)</t>
  </si>
  <si>
    <t>(0.25744475822112256-0.0946414760454074j)</t>
  </si>
  <si>
    <t>(0.17623891658824187-0.01442599851096418j)</t>
  </si>
  <si>
    <t>(0.4788790930746414-0.24724780511453792j)</t>
  </si>
  <si>
    <t>(0.17544018630464442-0.014367022344428167j)</t>
  </si>
  <si>
    <t>(0.46756389248104946-0.25240243972813214j)</t>
  </si>
  <si>
    <t>(0.17469156566578414-0.0143131402293225j)</t>
  </si>
  <si>
    <t>(0.4694648265176071-0.24368404330459503j)</t>
  </si>
  <si>
    <t>(0.17382095713056733-0.014245474007291085j)</t>
  </si>
  <si>
    <t>(0.4576112194587494-0.23560512895598995j)</t>
  </si>
  <si>
    <t>(0.17620524228657564-0.01438406989565258j)</t>
  </si>
  <si>
    <t>(0.474323125025792-0.23759258250516613j)</t>
  </si>
  <si>
    <t>(0.17548648652775567-0.014333117089133977j)</t>
  </si>
  <si>
    <t>(0.47454783195703865-0.2416559594717942j)</t>
  </si>
  <si>
    <t>(0.17478941285993344-0.01428503016601378j)</t>
  </si>
  <si>
    <t>(0.46370226880779697-0.23503553218048268j)</t>
  </si>
  <si>
    <t>(0.17414105224444598-0.014239755433038324j)</t>
  </si>
  <si>
    <t>(0.46545650578388864-0.2410315334625417j)</t>
  </si>
  <si>
    <t>(0.1745194852254146-0.014221521955957807j)</t>
  </si>
  <si>
    <t>(0.46429898718492213-0.23411628760721648j)</t>
  </si>
  <si>
    <t>(0.17392478413483303-0.01418359103588402j)</t>
  </si>
  <si>
    <t>(0.4580084532466322-0.23070415251766896j)</t>
  </si>
  <si>
    <t>(0.16798237179091036-0.013610527627193576j)</t>
  </si>
  <si>
    <t>(0.46505697208899477-0.24566274401731336j)</t>
  </si>
  <si>
    <t>(0.1672796790311155-0.01356607081959348j)</t>
  </si>
  <si>
    <t>(0.43967824657770405-0.23711512586951677j)</t>
  </si>
  <si>
    <t>(0.16661004520592204-0.013518183989175064j)</t>
  </si>
  <si>
    <t>(0.4427408397220778-0.24341103436421818j)</t>
  </si>
  <si>
    <t>(0.16797316121368766-0.013576694334616227j)</t>
  </si>
  <si>
    <t>(0.450262175629599-0.23798359673464287j)</t>
  </si>
  <si>
    <t>(0.1674579624688879-0.013546158783947729j)</t>
  </si>
  <si>
    <t>(0.4628492573042231-0.2417171430735694j)</t>
  </si>
  <si>
    <t>(0.16684232733007587-0.01350710325263315j)</t>
  </si>
  <si>
    <t>(0.45578921714589304-0.24835219350750304j)</t>
  </si>
  <si>
    <t>(0.16623966274319213-0.01346570697677369j)</t>
  </si>
  <si>
    <t>(0.42581957560173667-0.22872640545370526j)</t>
  </si>
  <si>
    <t>(0.1671378402207815-0.013481260620852462j)</t>
  </si>
  <si>
    <t>(0.44738980556293306-0.2342282630096557j)</t>
  </si>
  <si>
    <t>(0.166649802641879-0.013452901572524333j)</t>
  </si>
  <si>
    <t>(0.4267892384993188-0.22428373971832372j)</t>
  </si>
  <si>
    <t>(0.16617709407565817-0.013427426976205456j)</t>
  </si>
  <si>
    <t>(0.43372611198536326-0.23190586213175735j)</t>
  </si>
  <si>
    <t>(0.181416927242124-0.002048763387807969j)</t>
  </si>
  <si>
    <t>(0.20132364785552537-0.012962050279183956j)</t>
  </si>
  <si>
    <t>(0.18039247468042663-0.00203592689389701j)</t>
  </si>
  <si>
    <t>(0.20017774992166415-0.01288549260781395j)</t>
  </si>
  <si>
    <t>(0.18148983427662868-0.0020452661046298027j)</t>
  </si>
  <si>
    <t>(0.2013561243515971-0.012928504496293042j)</t>
  </si>
  <si>
    <t>(0.18064562280106822-0.0020351479946503826j)</t>
  </si>
  <si>
    <t>(0.2004168374394426-0.01286935842534298j)</t>
  </si>
  <si>
    <t>(0.18055749817745714-0.002028371548942496j)</t>
  </si>
  <si>
    <t>(0.20025574154775283-0.01281308384731078j)</t>
  </si>
  <si>
    <t>(0.17464176273301169-0.0019449681040489965j)</t>
  </si>
  <si>
    <t>(0.19353837315100786-0.012294463806869077j)</t>
  </si>
  <si>
    <t>(0.17841483254705337-0.003857550007937763j)</t>
  </si>
  <si>
    <t>(0.2163479124692358-0.03165156694005422j)</t>
  </si>
  <si>
    <t>(0.1737528401108257-0.0019344503922819611j)</t>
  </si>
  <si>
    <t>(0.19255032017790263-0.012232512286010855j)</t>
  </si>
  <si>
    <t>(0.17750561520934616-0.0038370506800012878j)</t>
  </si>
  <si>
    <t>(0.21524199087862228-0.03149491045372288j)</t>
  </si>
  <si>
    <t>(0.1728738603786908-0.0019240977526693362j)</t>
  </si>
  <si>
    <t>(0.1915737591806943-0.01217151156496421j)</t>
  </si>
  <si>
    <t>(0.17660665912927787-0.0038168698908509534j)</t>
  </si>
  <si>
    <t>(0.21414931530823011-0.03134062148573788j)</t>
  </si>
  <si>
    <t>(0.1746112113359175-0.0019403028561292487j)</t>
  </si>
  <si>
    <t>(0.193457055443492-0.01225431700074378j)</t>
  </si>
  <si>
    <t>(0.17837510238110332-0.003847657261174439j)</t>
  </si>
  <si>
    <t>(0.2162000639808226-0.03151802759147779j)</t>
  </si>
  <si>
    <t>(0.17381987828065615-0.001931209298205045j)</t>
  </si>
  <si>
    <t>(0.19258037377417292-0.012201444770599812j)</t>
  </si>
  <si>
    <t>(0.17756623257479687-0.0038299840236730286j)</t>
  </si>
  <si>
    <t>(0.2152224972818524-0.03138669353189555j)</t>
  </si>
  <si>
    <t>(0.17310879966121062-0.0019232920172561883j)</t>
  </si>
  <si>
    <t>(0.19179530855544535-0.01215597539526575j)</t>
  </si>
  <si>
    <t>(0.17683989512938725-0.0038146346927832213j)</t>
  </si>
  <si>
    <t>(0.21435023201572534-0.03127525933135758j)</t>
  </si>
  <si>
    <t>(0.17233267752780757-0.00191442865104711j)</t>
  </si>
  <si>
    <t>(0.19093597552474462-0.01210438730694402j)</t>
  </si>
  <si>
    <t>(0.17604667972179233-0.0037974032636465867j)</t>
  </si>
  <si>
    <t>(0.21339240530759174-0.031146994155927837j)</t>
  </si>
  <si>
    <t>(0.17281122064677867-0.0019149335037670968j)</t>
  </si>
  <si>
    <t>(0.19141151161443326-0.012092654409119774j)</t>
  </si>
  <si>
    <t>(0.1765259924449798-0.003797452320651461j)</t>
  </si>
  <si>
    <t>(0.21385694515076792-0.031079491219537236j)</t>
  </si>
  <si>
    <t>(0.1664597941112793-0.0018292816311996094j)</t>
  </si>
  <si>
    <t>(0.18420526933793857-0.011558965614052924j)</t>
  </si>
  <si>
    <t>(0.1700088437278089-0.0036286694331274863j)</t>
  </si>
  <si>
    <t>(0.20564960752404526-0.029666596889841967j)</t>
  </si>
  <si>
    <t>(0.17701528994058746-0.007312500619792476j)</t>
  </si>
  <si>
    <t>(0.2724285024045545-0.10360484258422681j)</t>
  </si>
  <si>
    <t>(0.16917734496884385-0.003610760390843594j)</t>
  </si>
  <si>
    <t>(0.20464553417505194-0.029530948435036564j)</t>
  </si>
  <si>
    <t>(0.17614948211587222-0.007277386922016962j)</t>
  </si>
  <si>
    <t>(0.27103552292080524-0.10321886851692558j)</t>
  </si>
  <si>
    <t>(0.16842429775016132-0.003595006980926627j)</t>
  </si>
  <si>
    <t>(0.2037442657333599-0.029414125307709704j)</t>
  </si>
  <si>
    <t>(0.17536627284495232-0.007246603987342651j)</t>
  </si>
  <si>
    <t>(0.26978810200708736-0.10289927657838877j)</t>
  </si>
  <si>
    <t>(0.1665172025586883-0.0018262587162060037j)</t>
  </si>
  <si>
    <t>(0.18423298008948752-0.011530179213672526j)</t>
  </si>
  <si>
    <t>(0.17006023359578393-0.003622089053619804j)</t>
  </si>
  <si>
    <t>(0.20563252585869818-0.029568292152188425j)</t>
  </si>
  <si>
    <t>(0.17705365482669544-0.007297132456140441j)</t>
  </si>
  <si>
    <t>(0.2721997261451825-0.10305670571059178j)</t>
  </si>
  <si>
    <t>(0.1693888900725664-0.003608508289614523j)</t>
  </si>
  <si>
    <t>(0.20483164052250835-0.029470802319702755j)</t>
  </si>
  <si>
    <t>(0.1763563327612636-0.007270776746436812j)</t>
  </si>
  <si>
    <t>(0.2711114049554584-0.10281080894008932j)</t>
  </si>
  <si>
    <t>(0.16872410288811324-0.003595094655080392j)</t>
  </si>
  <si>
    <t>(0.20404161676585697-0.029374848616933458j)</t>
  </si>
  <si>
    <t>(0.17566588569255082-0.007244737568592523j)</t>
  </si>
  <si>
    <t>(0.2700336062814055-0.1025674310528843j)</t>
  </si>
  <si>
    <t>(0.1679969881264376-0.003579978874358441j)</t>
  </si>
  <si>
    <t>(0.2031694845946852-0.02926333024228553j)</t>
  </si>
  <si>
    <t>(0.1749098296700562-0.007215238216853569j)</t>
  </si>
  <si>
    <t>(0.26883833514930533-0.10226655598680923j)</t>
  </si>
  <si>
    <t>(0.16909391547884645-0.0035929083913439014j)</t>
  </si>
  <si>
    <t>(0.2043816752243819-0.029295259248224903j)</t>
  </si>
  <si>
    <t>(0.17603099370500286-0.007237267804502193j)</t>
  </si>
  <si>
    <t>(0.2702388021181792-0.10199142805803063j)</t>
  </si>
  <si>
    <t>(0.1685223329322958-0.003581991705412074j)</t>
  </si>
  <si>
    <t>(0.20370684505759984-0.029220850848442004j)</t>
  </si>
  <si>
    <t>(0.17543855299891797-0.00721627217533153j)</t>
  </si>
  <si>
    <t>(0.2693396235410206-0.10182699684435903j)</t>
  </si>
  <si>
    <t>(0.16868105217153406-0.006890356203538128j)</t>
  </si>
  <si>
    <t>(0.25796309022236663-0.09716746456800668j)</t>
  </si>
  <si>
    <t>(0.18170368946444238-0.015190848932117128j)</t>
  </si>
  <si>
    <t>(0.4982384494400369-0.2578511462017181j)</t>
  </si>
  <si>
    <t>(0.1679600291599832-0.006863196642603134j)</t>
  </si>
  <si>
    <t>(0.2566980945071926-0.09708038291099341j)</t>
  </si>
  <si>
    <t>(0.18093168449306418-0.015133276138171853j)</t>
  </si>
  <si>
    <t>(0.4940644885142387-0.25394453439716635j)</t>
  </si>
  <si>
    <t>(0.1672111006502539-0.006832832592654263j)</t>
  </si>
  <si>
    <t>(0.25573017886986626-0.09643187118254798j)</t>
  </si>
  <si>
    <t>(0.18012870236978573-0.015069831799479468j)</t>
  </si>
  <si>
    <t>(0.5014092637362495-0.256544537142269j)</t>
  </si>
  <si>
    <t>(0.16879522318647155-0.006879898937925745j)</t>
  </si>
  <si>
    <t>(0.25784987222346833-0.09680017892710235j)</t>
  </si>
  <si>
    <t>(0.18179923407204224-0.015160133373194766j)</t>
  </si>
  <si>
    <t>(0.49883796869549113-0.25271679419635795j)</t>
  </si>
  <si>
    <t>(0.16821176161052898-0.006859029012633985j)</t>
  </si>
  <si>
    <t>(0.25698941577197587-0.09658541880750432j)</t>
  </si>
  <si>
    <t>(0.18117706923709198-0.015116867548622983j)</t>
  </si>
  <si>
    <t>(0.5000486372935107-0.25412475747803753j)</t>
  </si>
  <si>
    <t>(0.16757703816679803-0.006835410290957019j)</t>
  </si>
  <si>
    <t>(0.2559892624946096-0.09636189227165204j)</t>
  </si>
  <si>
    <t>(0.18049874384858589-0.015068039436967225j)</t>
  </si>
  <si>
    <t>(0.49093756258811805-0.25419642716837676j)</t>
  </si>
  <si>
    <t>(0.16854253738075453-0.006850676050938897j)</t>
  </si>
  <si>
    <t>(0.25709991843322033-0.09617666113146506j)</t>
  </si>
  <si>
    <t>(0.18150404540118426-0.015089583142892098j)</t>
  </si>
  <si>
    <t>(0.49822361491568756-0.24508360371477733j)</t>
  </si>
  <si>
    <t>(0.1679982241881106-0.00683269558995447j)</t>
  </si>
  <si>
    <t>(0.2563104648172887-0.09587298908627229j)</t>
  </si>
  <si>
    <t>(0.18091386272710697-0.015050265180711574j)</t>
  </si>
  <si>
    <t>(0.4976015069598052-0.24252803763409447j)</t>
  </si>
  <si>
    <t>(0.16753272177695822-0.0068183830504711124j)</t>
  </si>
  <si>
    <t>(0.2556382265944812-0.09587058876532578j)</t>
  </si>
  <si>
    <t>(0.18042453890299437-0.015022586672036205j)</t>
  </si>
  <si>
    <t>(0.49715004804947216-0.24984541789464798j)</t>
  </si>
  <si>
    <t>(0.16712987349995623-0.006780358674750037j)</t>
  </si>
  <si>
    <t>(0.2545538904817888-0.09496474626090812j)</t>
  </si>
  <si>
    <t>(0.17995683046786715-0.014929102190667537j)</t>
  </si>
  <si>
    <t>(0.493515221101571-0.24058702997802706j)</t>
  </si>
  <si>
    <t>(0.17373589323608374-0.014360556826020342j)</t>
  </si>
  <si>
    <t>(0.4741700847386756-0.24351566601506425j)</t>
  </si>
  <si>
    <t>(0.17296247373226037-0.014303504237405305j)</t>
  </si>
  <si>
    <t>(0.4702686538515799-0.2516156949803715j)</t>
  </si>
  <si>
    <t>(0.17235161425049927-0.014263577655816182j)</t>
  </si>
  <si>
    <t>(0.4759595481963097-0.2524483632760711j)</t>
  </si>
  <si>
    <t>(0.1716735218949066-0.0142164851299562j)</t>
  </si>
  <si>
    <t>(0.47393689232578673-0.25484867942976197j)</t>
  </si>
  <si>
    <t>(0.17321123251442483-0.014291302498767004j)</t>
  </si>
  <si>
    <t>(0.47235225856879914-0.2421735259650778j)</t>
  </si>
  <si>
    <t>(0.17269851138686976-0.014262724075242452j)</t>
  </si>
  <si>
    <t>(0.47730845936231714-0.2532214622388459j)</t>
  </si>
  <si>
    <t>(0.17205390697378986-0.014215748702685771j)</t>
  </si>
  <si>
    <t>(0.46952723317627587-0.2456487624624102j)</t>
  </si>
  <si>
    <t>(0.17360678486314907-0.014278191860398654j)</t>
  </si>
  <si>
    <t>(0.4719555746765445-0.2441081727464106j)</t>
  </si>
  <si>
    <t>(0.17303613524072325-0.01423750671381317j)</t>
  </si>
  <si>
    <t>(0.4767036164264795-0.2379086109325953j)</t>
  </si>
  <si>
    <t>(0.17254976086657292-0.014212553603164873j)</t>
  </si>
  <si>
    <t>(0.46838599512610624-0.24579437285773487j)</t>
  </si>
  <si>
    <t>(0.1720623986227372-0.01418106246197638j)</t>
  </si>
  <si>
    <t>(0.4689356652368799-0.2416281996805678j)</t>
  </si>
  <si>
    <t>(0.17205226192851986-0.014129252336114643j)</t>
  </si>
  <si>
    <t>(0.4654101630192957-0.24783855641790808j)</t>
  </si>
  <si>
    <t>(0.17167334397458034-0.01410950633316491j)</t>
  </si>
  <si>
    <t>(0.4656861427880883-0.2428056163831952j)</t>
  </si>
  <si>
    <t>BF97 / DW85</t>
  </si>
  <si>
    <t>Love number real</t>
  </si>
  <si>
    <t>Likeness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</si>
</sst>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4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color theme="1"/>
      <name val="Calibri"/>
      <family val="2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1" fillId="0" borderId="2" xfId="0" applyFont="1" applyFill="1" applyBorder="1" applyAlignment="1">
      <alignment horizontal="center" vertical="top"/>
    </xf>
    <xf numFmtId="0" fontId="0" fillId="2" borderId="0" xfId="0" applyFill="1"/>
    <xf numFmtId="165" fontId="0" fillId="0" borderId="0" xfId="0" applyNumberFormat="1"/>
    <xf numFmtId="165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525"/>
  <sheetViews>
    <sheetView tabSelected="1" topLeftCell="Q1" zoomScaleNormal="100" workbookViewId="0">
      <pane ySplit="5" topLeftCell="A382" activePane="bottomLeft" state="frozen"/>
      <selection pane="bottomLeft" activeCell="O422" sqref="O422"/>
    </sheetView>
  </sheetViews>
  <sheetFormatPr baseColWidth="10" defaultColWidth="8.5" defaultRowHeight="15" x14ac:dyDescent="0.2"/>
  <sheetData>
    <row r="1" spans="1:24" x14ac:dyDescent="0.2">
      <c r="A1" s="2" t="s">
        <v>28</v>
      </c>
      <c r="B1" s="2" t="s">
        <v>29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3" t="s">
        <v>1079</v>
      </c>
      <c r="X1" s="3" t="s">
        <v>1080</v>
      </c>
    </row>
    <row r="2" spans="1:24" hidden="1" x14ac:dyDescent="0.2">
      <c r="A2" t="s">
        <v>1078</v>
      </c>
      <c r="B2" t="s">
        <v>30</v>
      </c>
      <c r="C2">
        <v>2.7</v>
      </c>
      <c r="D2">
        <v>72</v>
      </c>
      <c r="E2">
        <v>6.9023211677809604</v>
      </c>
      <c r="F2">
        <v>6.2267403936385204</v>
      </c>
      <c r="G2">
        <v>1653.80820420178</v>
      </c>
      <c r="H2">
        <v>0</v>
      </c>
      <c r="I2">
        <v>0.8</v>
      </c>
      <c r="J2" t="b">
        <f>TRUE()</f>
        <v>1</v>
      </c>
      <c r="K2">
        <v>1E+19</v>
      </c>
      <c r="L2">
        <v>0.3</v>
      </c>
      <c r="M2" t="b">
        <f>TRUE()</f>
        <v>1</v>
      </c>
      <c r="N2">
        <v>100000000000</v>
      </c>
      <c r="O2">
        <v>0.36448409927960401</v>
      </c>
      <c r="P2">
        <v>0.18509558145845001</v>
      </c>
      <c r="Q2">
        <v>0.126655599888362</v>
      </c>
      <c r="R2" t="s">
        <v>20</v>
      </c>
      <c r="S2" t="s">
        <v>21</v>
      </c>
      <c r="T2">
        <v>1.2899351487333199</v>
      </c>
      <c r="U2">
        <v>226.081700869309</v>
      </c>
      <c r="V2">
        <v>200.23093044089799</v>
      </c>
    </row>
    <row r="3" spans="1:24" hidden="1" x14ac:dyDescent="0.2">
      <c r="A3" t="s">
        <v>1078</v>
      </c>
      <c r="B3" t="s">
        <v>30</v>
      </c>
      <c r="C3">
        <v>2.7</v>
      </c>
      <c r="D3">
        <v>70</v>
      </c>
      <c r="E3">
        <v>7.0548006241642804</v>
      </c>
      <c r="F3">
        <v>6.3867625703382096</v>
      </c>
      <c r="G3">
        <v>1616.9492106099001</v>
      </c>
      <c r="H3">
        <v>0</v>
      </c>
      <c r="I3">
        <v>0.7</v>
      </c>
      <c r="J3" t="b">
        <f>TRUE()</f>
        <v>1</v>
      </c>
      <c r="K3">
        <v>1E+18</v>
      </c>
      <c r="L3">
        <v>0.3</v>
      </c>
      <c r="M3" t="b">
        <f>TRUE()</f>
        <v>1</v>
      </c>
      <c r="N3">
        <v>100000000000</v>
      </c>
      <c r="O3">
        <v>0.36438290299658599</v>
      </c>
      <c r="P3">
        <v>0.18207733479002</v>
      </c>
      <c r="Q3">
        <v>0.12210761704539499</v>
      </c>
      <c r="R3" t="s">
        <v>22</v>
      </c>
      <c r="S3" t="s">
        <v>23</v>
      </c>
      <c r="T3">
        <v>1.2899351487333199</v>
      </c>
      <c r="U3">
        <v>282.14975606566099</v>
      </c>
      <c r="V3">
        <v>200.33639081531601</v>
      </c>
    </row>
    <row r="4" spans="1:24" hidden="1" x14ac:dyDescent="0.2">
      <c r="A4" t="s">
        <v>1078</v>
      </c>
      <c r="B4" t="s">
        <v>30</v>
      </c>
      <c r="C4">
        <v>2.7</v>
      </c>
      <c r="D4">
        <v>70</v>
      </c>
      <c r="E4">
        <v>7.2234790823983799</v>
      </c>
      <c r="F4">
        <v>6.5647264514022297</v>
      </c>
      <c r="G4">
        <v>1581.6303569245599</v>
      </c>
      <c r="H4">
        <v>0</v>
      </c>
      <c r="I4">
        <v>0.6</v>
      </c>
      <c r="J4" t="b">
        <f>TRUE()</f>
        <v>1</v>
      </c>
      <c r="K4">
        <v>1E+18</v>
      </c>
      <c r="L4">
        <v>0.3</v>
      </c>
      <c r="M4" t="b">
        <f>TRUE()</f>
        <v>1</v>
      </c>
      <c r="N4">
        <v>100000000000</v>
      </c>
      <c r="O4">
        <v>0.36412924837803601</v>
      </c>
      <c r="P4">
        <v>0.17894714379413501</v>
      </c>
      <c r="Q4">
        <v>0.11794233407856</v>
      </c>
      <c r="R4" t="s">
        <v>24</v>
      </c>
      <c r="S4" t="s">
        <v>25</v>
      </c>
      <c r="T4">
        <v>1.2899351487333199</v>
      </c>
      <c r="U4">
        <v>275.112741467256</v>
      </c>
      <c r="V4">
        <v>200.39308796742799</v>
      </c>
    </row>
    <row r="5" spans="1:24" hidden="1" x14ac:dyDescent="0.2">
      <c r="A5" t="s">
        <v>1078</v>
      </c>
      <c r="B5" t="s">
        <v>30</v>
      </c>
      <c r="C5">
        <v>2.7</v>
      </c>
      <c r="D5">
        <v>65</v>
      </c>
      <c r="E5">
        <v>7.2178480916263004</v>
      </c>
      <c r="F5">
        <v>6.5665723554587698</v>
      </c>
      <c r="G5">
        <v>1575.94324366161</v>
      </c>
      <c r="H5">
        <v>0</v>
      </c>
      <c r="I5">
        <v>0.6</v>
      </c>
      <c r="J5" t="b">
        <f>TRUE()</f>
        <v>1</v>
      </c>
      <c r="K5">
        <v>1E+18</v>
      </c>
      <c r="L5">
        <v>0.3</v>
      </c>
      <c r="M5" t="b">
        <f>TRUE()</f>
        <v>1</v>
      </c>
      <c r="N5">
        <v>100000000000</v>
      </c>
      <c r="O5">
        <v>0.36452556854492102</v>
      </c>
      <c r="P5">
        <v>0.17824922530003801</v>
      </c>
      <c r="Q5">
        <v>0.117491170185891</v>
      </c>
      <c r="R5" t="s">
        <v>26</v>
      </c>
      <c r="S5" t="s">
        <v>27</v>
      </c>
      <c r="T5">
        <v>1.2899351487333199</v>
      </c>
      <c r="U5">
        <v>274.48757282990999</v>
      </c>
      <c r="V5">
        <v>200.47170823552901</v>
      </c>
    </row>
    <row r="6" spans="1:24" x14ac:dyDescent="0.2">
      <c r="A6" t="s">
        <v>1078</v>
      </c>
      <c r="B6" t="s">
        <v>61</v>
      </c>
      <c r="C6">
        <v>2.7</v>
      </c>
      <c r="D6">
        <v>70</v>
      </c>
      <c r="E6">
        <v>6.7306192422600759</v>
      </c>
      <c r="F6">
        <v>6.0358500386332512</v>
      </c>
      <c r="G6">
        <v>1708.690956201777</v>
      </c>
      <c r="H6">
        <v>0</v>
      </c>
      <c r="I6">
        <v>0.9</v>
      </c>
      <c r="J6" t="b">
        <v>1</v>
      </c>
      <c r="K6">
        <v>1E+21</v>
      </c>
      <c r="L6">
        <v>0.3</v>
      </c>
      <c r="M6" t="b">
        <v>1</v>
      </c>
      <c r="N6">
        <v>100000000000</v>
      </c>
      <c r="O6">
        <v>0.36454238761982122</v>
      </c>
      <c r="P6">
        <v>0.18929161256603441</v>
      </c>
      <c r="Q6">
        <v>0.1354523430726724</v>
      </c>
      <c r="R6" t="s">
        <v>31</v>
      </c>
      <c r="S6" t="s">
        <v>32</v>
      </c>
      <c r="T6">
        <v>1.289935148733321</v>
      </c>
      <c r="U6">
        <v>210.88234554996299</v>
      </c>
      <c r="V6">
        <v>200.24225749542299</v>
      </c>
      <c r="W6">
        <f>VALUE(","&amp;MID(R6,4,10))</f>
        <v>0.17524897649999999</v>
      </c>
      <c r="X6">
        <f>((O6-0.364)/0.0012)^2+((W6-0.174)/0.016)^2</f>
        <v>0.21038819830490818</v>
      </c>
    </row>
    <row r="7" spans="1:24" hidden="1" x14ac:dyDescent="0.2">
      <c r="A7" t="s">
        <v>1078</v>
      </c>
      <c r="B7" t="s">
        <v>61</v>
      </c>
      <c r="C7">
        <v>2.7</v>
      </c>
      <c r="D7">
        <v>70</v>
      </c>
      <c r="E7">
        <v>6.7306192422600759</v>
      </c>
      <c r="F7">
        <v>6.0358500386332512</v>
      </c>
      <c r="G7">
        <v>1708.690956201777</v>
      </c>
      <c r="H7">
        <v>0</v>
      </c>
      <c r="I7">
        <v>0.9</v>
      </c>
      <c r="J7" t="b">
        <v>1</v>
      </c>
      <c r="K7">
        <v>1E+20</v>
      </c>
      <c r="L7">
        <v>0.3</v>
      </c>
      <c r="M7" t="b">
        <v>1</v>
      </c>
      <c r="N7">
        <v>100000000000</v>
      </c>
      <c r="O7">
        <v>0.36454238761982122</v>
      </c>
      <c r="P7">
        <v>0.18929161256603441</v>
      </c>
      <c r="Q7">
        <v>0.1354523430726724</v>
      </c>
      <c r="R7" t="s">
        <v>33</v>
      </c>
      <c r="S7" t="s">
        <v>34</v>
      </c>
      <c r="T7">
        <v>1.289935148733321</v>
      </c>
      <c r="U7">
        <v>215.25061344136469</v>
      </c>
      <c r="V7">
        <v>200.24225749542299</v>
      </c>
    </row>
    <row r="8" spans="1:24" s="4" customFormat="1" x14ac:dyDescent="0.2">
      <c r="A8" s="4" t="s">
        <v>1078</v>
      </c>
      <c r="B8" s="4" t="s">
        <v>61</v>
      </c>
      <c r="C8" s="4">
        <v>2.7</v>
      </c>
      <c r="D8" s="4">
        <v>70</v>
      </c>
      <c r="E8" s="4">
        <v>6.8670238753319062</v>
      </c>
      <c r="F8" s="4">
        <v>6.1787009872410987</v>
      </c>
      <c r="G8" s="4">
        <v>1674.4527642017811</v>
      </c>
      <c r="H8" s="4">
        <v>0</v>
      </c>
      <c r="I8" s="4">
        <v>0.8</v>
      </c>
      <c r="J8" s="4" t="b">
        <v>1</v>
      </c>
      <c r="K8" s="4">
        <v>1E+21</v>
      </c>
      <c r="L8" s="4">
        <v>0.3</v>
      </c>
      <c r="M8" s="4" t="b">
        <v>1</v>
      </c>
      <c r="N8" s="4">
        <v>100000000000</v>
      </c>
      <c r="O8" s="4">
        <v>0.36427579336626509</v>
      </c>
      <c r="P8" s="4">
        <v>0.18676554992834751</v>
      </c>
      <c r="Q8" s="4">
        <v>0.13063510008840359</v>
      </c>
      <c r="R8" s="4" t="s">
        <v>35</v>
      </c>
      <c r="S8" s="4" t="s">
        <v>36</v>
      </c>
      <c r="T8" s="4">
        <v>1.289935148733321</v>
      </c>
      <c r="U8" s="4">
        <v>210.2742662771492</v>
      </c>
      <c r="V8" s="4">
        <v>200.32352904604119</v>
      </c>
      <c r="W8" s="4">
        <f>VALUE(","&amp;MID(R8,4,10))</f>
        <v>0.1680435793</v>
      </c>
      <c r="X8" s="4">
        <f>((O8-0.364)/0.0012)^2+((W8-0.174)/0.016)^2</f>
        <v>0.19141045894089878</v>
      </c>
    </row>
    <row r="9" spans="1:24" hidden="1" x14ac:dyDescent="0.2">
      <c r="A9" t="s">
        <v>1078</v>
      </c>
      <c r="B9" t="s">
        <v>61</v>
      </c>
      <c r="C9">
        <v>2.7</v>
      </c>
      <c r="D9">
        <v>70</v>
      </c>
      <c r="E9">
        <v>6.8670238753319062</v>
      </c>
      <c r="F9">
        <v>6.1787009872410987</v>
      </c>
      <c r="G9">
        <v>1674.4527642017811</v>
      </c>
      <c r="H9">
        <v>0</v>
      </c>
      <c r="I9">
        <v>0.8</v>
      </c>
      <c r="J9" t="b">
        <v>1</v>
      </c>
      <c r="K9">
        <v>1E+20</v>
      </c>
      <c r="L9">
        <v>0.3</v>
      </c>
      <c r="M9" t="b">
        <v>1</v>
      </c>
      <c r="N9">
        <v>100000000000</v>
      </c>
      <c r="O9">
        <v>0.36427579336626509</v>
      </c>
      <c r="P9">
        <v>0.18676554992834751</v>
      </c>
      <c r="Q9">
        <v>0.13063510008840359</v>
      </c>
      <c r="R9" t="s">
        <v>37</v>
      </c>
      <c r="S9" t="s">
        <v>38</v>
      </c>
      <c r="T9">
        <v>1.289935148733321</v>
      </c>
      <c r="U9">
        <v>214.36277013991889</v>
      </c>
      <c r="V9">
        <v>200.32352904604119</v>
      </c>
    </row>
    <row r="10" spans="1:24" hidden="1" x14ac:dyDescent="0.2">
      <c r="A10" t="s">
        <v>1078</v>
      </c>
      <c r="B10" t="s">
        <v>61</v>
      </c>
      <c r="C10">
        <v>2.7</v>
      </c>
      <c r="D10">
        <v>70</v>
      </c>
      <c r="E10">
        <v>6.8670238753319062</v>
      </c>
      <c r="F10">
        <v>6.1787009872410987</v>
      </c>
      <c r="G10">
        <v>1674.4527642017811</v>
      </c>
      <c r="H10">
        <v>0</v>
      </c>
      <c r="I10">
        <v>0.8</v>
      </c>
      <c r="J10" t="b">
        <v>1</v>
      </c>
      <c r="K10">
        <v>1E+19</v>
      </c>
      <c r="L10">
        <v>0.3</v>
      </c>
      <c r="M10" t="b">
        <v>1</v>
      </c>
      <c r="N10">
        <v>100000000000</v>
      </c>
      <c r="O10">
        <v>0.36427579336626509</v>
      </c>
      <c r="P10">
        <v>0.18676554992834751</v>
      </c>
      <c r="Q10">
        <v>0.13063510008840359</v>
      </c>
      <c r="R10" t="s">
        <v>39</v>
      </c>
      <c r="S10" t="s">
        <v>40</v>
      </c>
      <c r="T10">
        <v>1.289935148733321</v>
      </c>
      <c r="U10">
        <v>228.0547555396588</v>
      </c>
      <c r="V10">
        <v>200.32352904604119</v>
      </c>
    </row>
    <row r="11" spans="1:24" hidden="1" x14ac:dyDescent="0.2">
      <c r="A11" t="s">
        <v>1078</v>
      </c>
      <c r="B11" t="s">
        <v>61</v>
      </c>
      <c r="C11">
        <v>2.7</v>
      </c>
      <c r="D11">
        <v>70</v>
      </c>
      <c r="E11">
        <v>7.0157014674404694</v>
      </c>
      <c r="F11">
        <v>6.3371150881785452</v>
      </c>
      <c r="G11">
        <v>1639.505418711135</v>
      </c>
      <c r="H11">
        <v>0</v>
      </c>
      <c r="I11">
        <v>0.7</v>
      </c>
      <c r="J11" t="b">
        <v>1</v>
      </c>
      <c r="K11">
        <v>1E+19</v>
      </c>
      <c r="L11">
        <v>0.3</v>
      </c>
      <c r="M11" t="b">
        <v>1</v>
      </c>
      <c r="N11">
        <v>100000000000</v>
      </c>
      <c r="O11">
        <v>0.36401021431676078</v>
      </c>
      <c r="P11">
        <v>0.1839569887955522</v>
      </c>
      <c r="Q11">
        <v>0.1260141997139512</v>
      </c>
      <c r="R11" t="s">
        <v>41</v>
      </c>
      <c r="S11" t="s">
        <v>42</v>
      </c>
      <c r="T11">
        <v>1.289935148733321</v>
      </c>
      <c r="U11">
        <v>226.1749113109577</v>
      </c>
      <c r="V11">
        <v>200.39306266527271</v>
      </c>
    </row>
    <row r="12" spans="1:24" hidden="1" x14ac:dyDescent="0.2">
      <c r="A12" t="s">
        <v>1078</v>
      </c>
      <c r="B12" t="s">
        <v>61</v>
      </c>
      <c r="C12">
        <v>2.7</v>
      </c>
      <c r="D12">
        <v>65</v>
      </c>
      <c r="E12">
        <v>7.0104578054141502</v>
      </c>
      <c r="F12">
        <v>6.3391415090627081</v>
      </c>
      <c r="G12">
        <v>1633.8183288960711</v>
      </c>
      <c r="H12">
        <v>0</v>
      </c>
      <c r="I12">
        <v>0.7</v>
      </c>
      <c r="J12" t="b">
        <v>1</v>
      </c>
      <c r="K12">
        <v>1E+19</v>
      </c>
      <c r="L12">
        <v>0.3</v>
      </c>
      <c r="M12" t="b">
        <v>1</v>
      </c>
      <c r="N12">
        <v>100000000000</v>
      </c>
      <c r="O12">
        <v>0.36439421866090138</v>
      </c>
      <c r="P12">
        <v>0.18325528692837109</v>
      </c>
      <c r="Q12">
        <v>0.12552610744959991</v>
      </c>
      <c r="R12" t="s">
        <v>43</v>
      </c>
      <c r="S12" t="s">
        <v>44</v>
      </c>
      <c r="T12">
        <v>1.289935148733321</v>
      </c>
      <c r="U12">
        <v>226.13109684350161</v>
      </c>
      <c r="V12">
        <v>200.48392067431311</v>
      </c>
    </row>
    <row r="13" spans="1:24" hidden="1" x14ac:dyDescent="0.2">
      <c r="A13" t="s">
        <v>1078</v>
      </c>
      <c r="B13" t="s">
        <v>61</v>
      </c>
      <c r="C13">
        <v>2.7</v>
      </c>
      <c r="D13">
        <v>70</v>
      </c>
      <c r="E13">
        <v>7.1793528106238371</v>
      </c>
      <c r="F13">
        <v>6.5142102756565752</v>
      </c>
      <c r="G13">
        <v>1603.701621924208</v>
      </c>
      <c r="H13">
        <v>0</v>
      </c>
      <c r="I13">
        <v>0.6</v>
      </c>
      <c r="J13" t="b">
        <v>1</v>
      </c>
      <c r="K13">
        <v>1E+18</v>
      </c>
      <c r="L13">
        <v>0.3</v>
      </c>
      <c r="M13" t="b">
        <v>1</v>
      </c>
      <c r="N13">
        <v>100000000000</v>
      </c>
      <c r="O13">
        <v>0.36374480409961718</v>
      </c>
      <c r="P13">
        <v>0.18075300144449361</v>
      </c>
      <c r="Q13">
        <v>0.1215756629300813</v>
      </c>
      <c r="R13" t="s">
        <v>45</v>
      </c>
      <c r="S13" t="s">
        <v>46</v>
      </c>
      <c r="T13">
        <v>1.289935148733321</v>
      </c>
      <c r="U13">
        <v>284.49092375597871</v>
      </c>
      <c r="V13">
        <v>200.45179761246791</v>
      </c>
    </row>
    <row r="14" spans="1:24" hidden="1" x14ac:dyDescent="0.2">
      <c r="A14" t="s">
        <v>1078</v>
      </c>
      <c r="B14" t="s">
        <v>61</v>
      </c>
      <c r="C14">
        <v>2.7</v>
      </c>
      <c r="D14">
        <v>65</v>
      </c>
      <c r="E14">
        <v>7.180018745486862</v>
      </c>
      <c r="F14">
        <v>6.5162298393731533</v>
      </c>
      <c r="G14">
        <v>1597.8089304092159</v>
      </c>
      <c r="H14">
        <v>0</v>
      </c>
      <c r="I14">
        <v>0.6</v>
      </c>
      <c r="J14" t="b">
        <v>1</v>
      </c>
      <c r="K14">
        <v>1E+18</v>
      </c>
      <c r="L14">
        <v>0.3</v>
      </c>
      <c r="M14" t="b">
        <v>1</v>
      </c>
      <c r="N14">
        <v>100000000000</v>
      </c>
      <c r="O14">
        <v>0.36412711505861067</v>
      </c>
      <c r="P14">
        <v>0.1800918095133939</v>
      </c>
      <c r="Q14">
        <v>0.1211091580676609</v>
      </c>
      <c r="R14" t="s">
        <v>47</v>
      </c>
      <c r="S14" t="s">
        <v>48</v>
      </c>
      <c r="T14">
        <v>1.289935148733321</v>
      </c>
      <c r="U14">
        <v>280.18107940740111</v>
      </c>
      <c r="V14">
        <v>200.54141217746769</v>
      </c>
    </row>
    <row r="15" spans="1:24" hidden="1" x14ac:dyDescent="0.2">
      <c r="A15" t="s">
        <v>1078</v>
      </c>
      <c r="B15" t="s">
        <v>61</v>
      </c>
      <c r="C15">
        <v>2.7</v>
      </c>
      <c r="D15">
        <v>60</v>
      </c>
      <c r="E15">
        <v>7.1746250139422134</v>
      </c>
      <c r="F15">
        <v>6.5180412578066296</v>
      </c>
      <c r="G15">
        <v>1592.226199084372</v>
      </c>
      <c r="H15">
        <v>0</v>
      </c>
      <c r="I15">
        <v>0.6</v>
      </c>
      <c r="J15" t="b">
        <v>1</v>
      </c>
      <c r="K15">
        <v>1E+18</v>
      </c>
      <c r="L15">
        <v>0.3</v>
      </c>
      <c r="M15" t="b">
        <v>1</v>
      </c>
      <c r="N15">
        <v>100000000000</v>
      </c>
      <c r="O15">
        <v>0.36451848319818098</v>
      </c>
      <c r="P15">
        <v>0.17940682403700489</v>
      </c>
      <c r="Q15">
        <v>0.12067630588017721</v>
      </c>
      <c r="R15" t="s">
        <v>49</v>
      </c>
      <c r="S15" t="s">
        <v>50</v>
      </c>
      <c r="T15">
        <v>1.289935148733321</v>
      </c>
      <c r="U15">
        <v>282.33707405698578</v>
      </c>
      <c r="V15">
        <v>200.62576351308411</v>
      </c>
    </row>
    <row r="16" spans="1:24" hidden="1" x14ac:dyDescent="0.2">
      <c r="A16" t="s">
        <v>1078</v>
      </c>
      <c r="B16" t="s">
        <v>61</v>
      </c>
      <c r="C16">
        <v>2.8</v>
      </c>
      <c r="D16">
        <v>70</v>
      </c>
      <c r="E16">
        <v>7.1744014460220997</v>
      </c>
      <c r="F16">
        <v>6.518050532238667</v>
      </c>
      <c r="G16">
        <v>1592.035593328452</v>
      </c>
      <c r="H16">
        <v>0</v>
      </c>
      <c r="I16">
        <v>0.6</v>
      </c>
      <c r="J16" t="b">
        <v>1</v>
      </c>
      <c r="K16">
        <v>1E+18</v>
      </c>
      <c r="L16">
        <v>0.3</v>
      </c>
      <c r="M16" t="b">
        <v>1</v>
      </c>
      <c r="N16">
        <v>100000000000</v>
      </c>
      <c r="O16">
        <v>0.36455230855998338</v>
      </c>
      <c r="P16">
        <v>0.1793862183305627</v>
      </c>
      <c r="Q16">
        <v>0.1206849550754876</v>
      </c>
      <c r="R16" t="s">
        <v>51</v>
      </c>
      <c r="S16" t="s">
        <v>52</v>
      </c>
      <c r="T16">
        <v>1.289935148733321</v>
      </c>
      <c r="U16">
        <v>282.22542992272901</v>
      </c>
      <c r="V16">
        <v>200.63269144408019</v>
      </c>
    </row>
    <row r="17" spans="1:26" hidden="1" x14ac:dyDescent="0.2">
      <c r="A17" t="s">
        <v>1078</v>
      </c>
      <c r="B17" t="s">
        <v>61</v>
      </c>
      <c r="C17">
        <v>2.7</v>
      </c>
      <c r="D17">
        <v>70</v>
      </c>
      <c r="E17">
        <v>7.3698929312621493</v>
      </c>
      <c r="F17">
        <v>6.7142465213322184</v>
      </c>
      <c r="G17">
        <v>1566.3745946826839</v>
      </c>
      <c r="H17">
        <v>0</v>
      </c>
      <c r="I17">
        <v>0.5</v>
      </c>
      <c r="J17" t="b">
        <v>1</v>
      </c>
      <c r="K17">
        <v>1E+18</v>
      </c>
      <c r="L17">
        <v>0.3</v>
      </c>
      <c r="M17" t="b">
        <v>1</v>
      </c>
      <c r="N17">
        <v>100000000000</v>
      </c>
      <c r="O17">
        <v>0.36347009853288659</v>
      </c>
      <c r="P17">
        <v>0.17702382393187391</v>
      </c>
      <c r="Q17">
        <v>0.11724841879623731</v>
      </c>
      <c r="R17" t="s">
        <v>53</v>
      </c>
      <c r="S17" t="s">
        <v>54</v>
      </c>
      <c r="T17">
        <v>1.289935148733321</v>
      </c>
      <c r="U17">
        <v>275.52741219171281</v>
      </c>
      <c r="V17">
        <v>200.50382928228061</v>
      </c>
    </row>
    <row r="18" spans="1:26" hidden="1" x14ac:dyDescent="0.2">
      <c r="A18" t="s">
        <v>1078</v>
      </c>
      <c r="B18" t="s">
        <v>61</v>
      </c>
      <c r="C18">
        <v>2.7</v>
      </c>
      <c r="D18">
        <v>65</v>
      </c>
      <c r="E18">
        <v>7.3645931980318888</v>
      </c>
      <c r="F18">
        <v>6.7158691091340623</v>
      </c>
      <c r="G18">
        <v>1560.9689160939811</v>
      </c>
      <c r="H18">
        <v>0</v>
      </c>
      <c r="I18">
        <v>0.5</v>
      </c>
      <c r="J18" t="b">
        <v>1</v>
      </c>
      <c r="K18">
        <v>1E+18</v>
      </c>
      <c r="L18">
        <v>0.3</v>
      </c>
      <c r="M18" t="b">
        <v>1</v>
      </c>
      <c r="N18">
        <v>100000000000</v>
      </c>
      <c r="O18">
        <v>0.36386335778349832</v>
      </c>
      <c r="P18">
        <v>0.17636584141665809</v>
      </c>
      <c r="Q18">
        <v>0.11686672916455659</v>
      </c>
      <c r="R18" t="s">
        <v>55</v>
      </c>
      <c r="S18" t="s">
        <v>56</v>
      </c>
      <c r="T18">
        <v>1.289935148733321</v>
      </c>
      <c r="U18">
        <v>276.28138372858939</v>
      </c>
      <c r="V18">
        <v>200.5842924896329</v>
      </c>
    </row>
    <row r="19" spans="1:26" hidden="1" x14ac:dyDescent="0.2">
      <c r="A19" t="s">
        <v>1078</v>
      </c>
      <c r="B19" t="s">
        <v>61</v>
      </c>
      <c r="C19">
        <v>2.7</v>
      </c>
      <c r="D19">
        <v>60</v>
      </c>
      <c r="E19">
        <v>7.365183790178258</v>
      </c>
      <c r="F19">
        <v>6.7176660716225456</v>
      </c>
      <c r="G19">
        <v>1555.1851690041051</v>
      </c>
      <c r="H19">
        <v>0</v>
      </c>
      <c r="I19">
        <v>0.5</v>
      </c>
      <c r="J19" t="b">
        <v>1</v>
      </c>
      <c r="K19">
        <v>1E+18</v>
      </c>
      <c r="L19">
        <v>0.3</v>
      </c>
      <c r="M19" t="b">
        <v>1</v>
      </c>
      <c r="N19">
        <v>100000000000</v>
      </c>
      <c r="O19">
        <v>0.36425332027494889</v>
      </c>
      <c r="P19">
        <v>0.17572633595727141</v>
      </c>
      <c r="Q19">
        <v>0.1164350583618239</v>
      </c>
      <c r="R19" t="s">
        <v>57</v>
      </c>
      <c r="S19" t="s">
        <v>58</v>
      </c>
      <c r="T19">
        <v>1.289935148733321</v>
      </c>
      <c r="U19">
        <v>275.734364915426</v>
      </c>
      <c r="V19">
        <v>200.663955726268</v>
      </c>
    </row>
    <row r="20" spans="1:26" hidden="1" x14ac:dyDescent="0.2">
      <c r="A20" t="s">
        <v>1078</v>
      </c>
      <c r="B20" t="s">
        <v>61</v>
      </c>
      <c r="C20">
        <v>2.8</v>
      </c>
      <c r="D20">
        <v>70</v>
      </c>
      <c r="E20">
        <v>7.3649549685119444</v>
      </c>
      <c r="F20">
        <v>6.7176699361939516</v>
      </c>
      <c r="G20">
        <v>1554.9990503885399</v>
      </c>
      <c r="H20">
        <v>0</v>
      </c>
      <c r="I20">
        <v>0.5</v>
      </c>
      <c r="J20" t="b">
        <v>1</v>
      </c>
      <c r="K20">
        <v>1E+18</v>
      </c>
      <c r="L20">
        <v>0.3</v>
      </c>
      <c r="M20" t="b">
        <v>1</v>
      </c>
      <c r="N20">
        <v>100000000000</v>
      </c>
      <c r="O20">
        <v>0.36428730696571332</v>
      </c>
      <c r="P20">
        <v>0.17570633325319979</v>
      </c>
      <c r="Q20">
        <v>0.1164621128332768</v>
      </c>
      <c r="R20" t="s">
        <v>59</v>
      </c>
      <c r="S20" t="s">
        <v>60</v>
      </c>
      <c r="T20">
        <v>1.289935148733321</v>
      </c>
      <c r="U20">
        <v>275.50434069823137</v>
      </c>
      <c r="V20">
        <v>200.67354760143701</v>
      </c>
    </row>
    <row r="21" spans="1:26" hidden="1" x14ac:dyDescent="0.2">
      <c r="A21" t="s">
        <v>66</v>
      </c>
      <c r="B21" t="s">
        <v>61</v>
      </c>
      <c r="C21">
        <v>2.7</v>
      </c>
      <c r="D21">
        <v>72</v>
      </c>
      <c r="E21">
        <v>7.1766970957915772</v>
      </c>
      <c r="F21">
        <v>6.5121552301874699</v>
      </c>
      <c r="G21">
        <v>1599.0661034368779</v>
      </c>
      <c r="H21">
        <v>0</v>
      </c>
      <c r="I21">
        <v>0.6</v>
      </c>
      <c r="J21" t="b">
        <v>1</v>
      </c>
      <c r="K21">
        <v>1E+18</v>
      </c>
      <c r="L21">
        <v>0.3</v>
      </c>
      <c r="M21" t="b">
        <v>1</v>
      </c>
      <c r="N21">
        <v>100000000000</v>
      </c>
      <c r="O21">
        <v>0.36449685918912378</v>
      </c>
      <c r="P21">
        <v>0.18042164133637739</v>
      </c>
      <c r="Q21">
        <v>0.11927422705746291</v>
      </c>
      <c r="R21" t="s">
        <v>62</v>
      </c>
      <c r="S21" t="s">
        <v>63</v>
      </c>
      <c r="T21">
        <v>1.289935148733321</v>
      </c>
      <c r="U21">
        <v>292.09531577468982</v>
      </c>
      <c r="V21">
        <v>200.19599619494241</v>
      </c>
    </row>
    <row r="22" spans="1:26" hidden="1" x14ac:dyDescent="0.2">
      <c r="A22" t="s">
        <v>66</v>
      </c>
      <c r="B22" t="s">
        <v>61</v>
      </c>
      <c r="C22">
        <v>2.7</v>
      </c>
      <c r="D22">
        <v>72</v>
      </c>
      <c r="E22">
        <v>7.366401214551936</v>
      </c>
      <c r="F22">
        <v>6.7118513880213362</v>
      </c>
      <c r="G22">
        <v>1562.170642805756</v>
      </c>
      <c r="H22">
        <v>0</v>
      </c>
      <c r="I22">
        <v>0.5</v>
      </c>
      <c r="J22" t="b">
        <v>1</v>
      </c>
      <c r="K22">
        <v>1E+18</v>
      </c>
      <c r="L22">
        <v>0.3</v>
      </c>
      <c r="M22" t="b">
        <v>1</v>
      </c>
      <c r="N22">
        <v>100000000000</v>
      </c>
      <c r="O22">
        <v>0.36422675330868348</v>
      </c>
      <c r="P22">
        <v>0.17674351924334111</v>
      </c>
      <c r="Q22">
        <v>0.115138713629533</v>
      </c>
      <c r="R22" t="s">
        <v>64</v>
      </c>
      <c r="S22" t="s">
        <v>65</v>
      </c>
      <c r="T22">
        <v>1.289935148733321</v>
      </c>
      <c r="U22">
        <v>283.42608868108181</v>
      </c>
      <c r="V22">
        <v>200.2613227253922</v>
      </c>
    </row>
    <row r="23" spans="1:26" x14ac:dyDescent="0.2">
      <c r="A23" t="s">
        <v>91</v>
      </c>
      <c r="B23" t="s">
        <v>30</v>
      </c>
      <c r="C23">
        <v>2.7</v>
      </c>
      <c r="D23">
        <v>70</v>
      </c>
      <c r="E23">
        <v>6.770198860551166</v>
      </c>
      <c r="F23">
        <v>6.0798567412224802</v>
      </c>
      <c r="G23">
        <v>1693.4363162017789</v>
      </c>
      <c r="H23">
        <v>0</v>
      </c>
      <c r="I23">
        <v>0.9</v>
      </c>
      <c r="J23" t="b">
        <v>1</v>
      </c>
      <c r="K23">
        <v>1E+21</v>
      </c>
      <c r="L23">
        <v>0.3</v>
      </c>
      <c r="M23" t="b">
        <v>1</v>
      </c>
      <c r="N23">
        <v>100000000000</v>
      </c>
      <c r="O23">
        <v>0.36457732949590083</v>
      </c>
      <c r="P23">
        <v>0.18837248707978921</v>
      </c>
      <c r="Q23">
        <v>0.13209472519839771</v>
      </c>
      <c r="R23" t="s">
        <v>67</v>
      </c>
      <c r="S23" t="s">
        <v>68</v>
      </c>
      <c r="T23">
        <v>1.289935148733321</v>
      </c>
      <c r="U23">
        <v>210.20352309341851</v>
      </c>
      <c r="V23">
        <v>200.11123622349939</v>
      </c>
      <c r="W23">
        <f>VALUE(","&amp;MID(R23,4,10))</f>
        <v>0.17022329759999999</v>
      </c>
      <c r="X23">
        <f>((O23-0.364)/0.0012)^2+((W23-0.174)/0.016)^2</f>
        <v>0.28718154691964959</v>
      </c>
      <c r="Y23">
        <f>((O23-O$8)/0.0012)^2+((W23-W$8)/0.016)^2</f>
        <v>8.1700957798313573E-2</v>
      </c>
      <c r="Z23" s="5">
        <f>Y23*100</f>
        <v>8.1700957798313567</v>
      </c>
    </row>
    <row r="24" spans="1:26" hidden="1" x14ac:dyDescent="0.2">
      <c r="A24" t="s">
        <v>91</v>
      </c>
      <c r="B24" t="s">
        <v>30</v>
      </c>
      <c r="C24">
        <v>2.7</v>
      </c>
      <c r="D24">
        <v>70</v>
      </c>
      <c r="E24">
        <v>6.770198860551166</v>
      </c>
      <c r="F24">
        <v>6.0798567412224802</v>
      </c>
      <c r="G24">
        <v>1693.4363162017789</v>
      </c>
      <c r="H24">
        <v>0</v>
      </c>
      <c r="I24">
        <v>0.9</v>
      </c>
      <c r="J24" t="b">
        <v>1</v>
      </c>
      <c r="K24">
        <v>1E+20</v>
      </c>
      <c r="L24">
        <v>0.3</v>
      </c>
      <c r="M24" t="b">
        <v>1</v>
      </c>
      <c r="N24">
        <v>100000000000</v>
      </c>
      <c r="O24">
        <v>0.36457732949590083</v>
      </c>
      <c r="P24">
        <v>0.18837248707978921</v>
      </c>
      <c r="Q24">
        <v>0.13209472519839771</v>
      </c>
      <c r="R24" t="s">
        <v>69</v>
      </c>
      <c r="S24" t="s">
        <v>70</v>
      </c>
      <c r="T24">
        <v>1.289935148733321</v>
      </c>
      <c r="U24">
        <v>214.30561717021021</v>
      </c>
      <c r="V24">
        <v>200.11123622349939</v>
      </c>
    </row>
    <row r="25" spans="1:26" hidden="1" x14ac:dyDescent="0.2">
      <c r="A25" t="s">
        <v>91</v>
      </c>
      <c r="B25" t="s">
        <v>30</v>
      </c>
      <c r="C25">
        <v>2.7</v>
      </c>
      <c r="D25">
        <v>70</v>
      </c>
      <c r="E25">
        <v>6.770198860551166</v>
      </c>
      <c r="F25">
        <v>6.0798567412224802</v>
      </c>
      <c r="G25">
        <v>1693.4363162017789</v>
      </c>
      <c r="H25">
        <v>0</v>
      </c>
      <c r="I25">
        <v>0.9</v>
      </c>
      <c r="J25" t="b">
        <v>1</v>
      </c>
      <c r="K25">
        <v>1E+19</v>
      </c>
      <c r="L25">
        <v>0.3</v>
      </c>
      <c r="M25" t="b">
        <v>1</v>
      </c>
      <c r="N25">
        <v>100000000000</v>
      </c>
      <c r="O25">
        <v>0.36457732949590083</v>
      </c>
      <c r="P25">
        <v>0.18837248707978921</v>
      </c>
      <c r="Q25">
        <v>0.13209472519839771</v>
      </c>
      <c r="R25" t="s">
        <v>71</v>
      </c>
      <c r="S25" t="s">
        <v>72</v>
      </c>
      <c r="T25">
        <v>1.289935148733321</v>
      </c>
      <c r="U25">
        <v>228.16631688544371</v>
      </c>
      <c r="V25">
        <v>200.11123622349939</v>
      </c>
    </row>
    <row r="26" spans="1:26" hidden="1" x14ac:dyDescent="0.2">
      <c r="A26" t="s">
        <v>91</v>
      </c>
      <c r="B26" t="s">
        <v>30</v>
      </c>
      <c r="C26">
        <v>2.7</v>
      </c>
      <c r="D26">
        <v>70</v>
      </c>
      <c r="E26">
        <v>6.9071868159638177</v>
      </c>
      <c r="F26">
        <v>6.2233078598815998</v>
      </c>
      <c r="G26">
        <v>1659.8761082017829</v>
      </c>
      <c r="H26">
        <v>0</v>
      </c>
      <c r="I26">
        <v>0.8</v>
      </c>
      <c r="J26" t="b">
        <v>1</v>
      </c>
      <c r="K26">
        <v>1E+20</v>
      </c>
      <c r="L26">
        <v>0.3</v>
      </c>
      <c r="M26" t="b">
        <v>1</v>
      </c>
      <c r="N26">
        <v>100000000000</v>
      </c>
      <c r="O26">
        <v>0.36432059852616039</v>
      </c>
      <c r="P26">
        <v>0.18590315901913859</v>
      </c>
      <c r="Q26">
        <v>0.12755387900670681</v>
      </c>
      <c r="R26" t="s">
        <v>73</v>
      </c>
      <c r="S26" t="s">
        <v>74</v>
      </c>
      <c r="T26">
        <v>1.289935148733321</v>
      </c>
      <c r="U26">
        <v>213.51395594848159</v>
      </c>
      <c r="V26">
        <v>200.19483116035471</v>
      </c>
    </row>
    <row r="27" spans="1:26" hidden="1" x14ac:dyDescent="0.2">
      <c r="A27" t="s">
        <v>91</v>
      </c>
      <c r="B27" t="s">
        <v>30</v>
      </c>
      <c r="C27">
        <v>2.7</v>
      </c>
      <c r="D27">
        <v>70</v>
      </c>
      <c r="E27">
        <v>6.9071868159638177</v>
      </c>
      <c r="F27">
        <v>6.2233078598815998</v>
      </c>
      <c r="G27">
        <v>1659.8761082017829</v>
      </c>
      <c r="H27">
        <v>0</v>
      </c>
      <c r="I27">
        <v>0.8</v>
      </c>
      <c r="J27" t="b">
        <v>1</v>
      </c>
      <c r="K27">
        <v>1E+19</v>
      </c>
      <c r="L27">
        <v>0.3</v>
      </c>
      <c r="M27" t="b">
        <v>1</v>
      </c>
      <c r="N27">
        <v>100000000000</v>
      </c>
      <c r="O27">
        <v>0.36432059852616039</v>
      </c>
      <c r="P27">
        <v>0.18590315901913859</v>
      </c>
      <c r="Q27">
        <v>0.12755387900670681</v>
      </c>
      <c r="R27" t="s">
        <v>75</v>
      </c>
      <c r="S27" t="s">
        <v>76</v>
      </c>
      <c r="T27">
        <v>1.289935148733321</v>
      </c>
      <c r="U27">
        <v>226.33473266646681</v>
      </c>
      <c r="V27">
        <v>200.19483116035471</v>
      </c>
    </row>
    <row r="28" spans="1:26" hidden="1" x14ac:dyDescent="0.2">
      <c r="A28" t="s">
        <v>91</v>
      </c>
      <c r="B28" t="s">
        <v>30</v>
      </c>
      <c r="C28">
        <v>2.7</v>
      </c>
      <c r="D28">
        <v>70</v>
      </c>
      <c r="E28">
        <v>7.0562282661700024</v>
      </c>
      <c r="F28">
        <v>6.3824703901313908</v>
      </c>
      <c r="G28">
        <v>1625.6022788923549</v>
      </c>
      <c r="H28">
        <v>0</v>
      </c>
      <c r="I28">
        <v>0.7</v>
      </c>
      <c r="J28" t="b">
        <v>1</v>
      </c>
      <c r="K28">
        <v>1E+19</v>
      </c>
      <c r="L28">
        <v>0.3</v>
      </c>
      <c r="M28" t="b">
        <v>1</v>
      </c>
      <c r="N28">
        <v>100000000000</v>
      </c>
      <c r="O28">
        <v>0.3640649382498487</v>
      </c>
      <c r="P28">
        <v>0.18314349921703749</v>
      </c>
      <c r="Q28">
        <v>0.1231888461577222</v>
      </c>
      <c r="R28" t="s">
        <v>77</v>
      </c>
      <c r="S28" t="s">
        <v>78</v>
      </c>
      <c r="T28">
        <v>1.289935148733321</v>
      </c>
      <c r="U28">
        <v>224.65215237009809</v>
      </c>
      <c r="V28">
        <v>200.26644349417819</v>
      </c>
    </row>
    <row r="29" spans="1:26" hidden="1" x14ac:dyDescent="0.2">
      <c r="A29" t="s">
        <v>91</v>
      </c>
      <c r="B29" t="s">
        <v>30</v>
      </c>
      <c r="C29">
        <v>2.7</v>
      </c>
      <c r="D29">
        <v>70</v>
      </c>
      <c r="E29">
        <v>7.0562282661700024</v>
      </c>
      <c r="F29">
        <v>6.3824703901313908</v>
      </c>
      <c r="G29">
        <v>1625.6022788923549</v>
      </c>
      <c r="H29">
        <v>0</v>
      </c>
      <c r="I29">
        <v>0.7</v>
      </c>
      <c r="J29" t="b">
        <v>1</v>
      </c>
      <c r="K29">
        <v>1E+18</v>
      </c>
      <c r="L29">
        <v>0.3</v>
      </c>
      <c r="M29" t="b">
        <v>1</v>
      </c>
      <c r="N29">
        <v>100000000000</v>
      </c>
      <c r="O29">
        <v>0.3640649382498487</v>
      </c>
      <c r="P29">
        <v>0.18314349921703749</v>
      </c>
      <c r="Q29">
        <v>0.1231888461577222</v>
      </c>
      <c r="R29" t="s">
        <v>79</v>
      </c>
      <c r="S29" t="s">
        <v>80</v>
      </c>
      <c r="T29">
        <v>1.289935148733321</v>
      </c>
      <c r="U29">
        <v>282.41975137770999</v>
      </c>
      <c r="V29">
        <v>200.26644349417819</v>
      </c>
    </row>
    <row r="30" spans="1:26" hidden="1" x14ac:dyDescent="0.2">
      <c r="A30" t="s">
        <v>91</v>
      </c>
      <c r="B30" t="s">
        <v>30</v>
      </c>
      <c r="C30">
        <v>2.7</v>
      </c>
      <c r="D30">
        <v>65</v>
      </c>
      <c r="E30">
        <v>7.0507571422295019</v>
      </c>
      <c r="F30">
        <v>6.3844945815371057</v>
      </c>
      <c r="G30">
        <v>1619.8982476862129</v>
      </c>
      <c r="H30">
        <v>0</v>
      </c>
      <c r="I30">
        <v>0.7</v>
      </c>
      <c r="J30" t="b">
        <v>1</v>
      </c>
      <c r="K30">
        <v>1E+18</v>
      </c>
      <c r="L30">
        <v>0.3</v>
      </c>
      <c r="M30" t="b">
        <v>1</v>
      </c>
      <c r="N30">
        <v>100000000000</v>
      </c>
      <c r="O30">
        <v>0.36445206205749708</v>
      </c>
      <c r="P30">
        <v>0.18243938331931281</v>
      </c>
      <c r="Q30">
        <v>0.12271851393505601</v>
      </c>
      <c r="R30" t="s">
        <v>81</v>
      </c>
      <c r="S30" t="s">
        <v>82</v>
      </c>
      <c r="T30">
        <v>1.289935148733321</v>
      </c>
      <c r="U30">
        <v>282.39785794483151</v>
      </c>
      <c r="V30">
        <v>200.35599260538041</v>
      </c>
    </row>
    <row r="31" spans="1:26" hidden="1" x14ac:dyDescent="0.2">
      <c r="A31" t="s">
        <v>91</v>
      </c>
      <c r="B31" t="s">
        <v>30</v>
      </c>
      <c r="C31">
        <v>2.7</v>
      </c>
      <c r="D31">
        <v>70</v>
      </c>
      <c r="E31">
        <v>7.2250366397143022</v>
      </c>
      <c r="F31">
        <v>6.5606865830920622</v>
      </c>
      <c r="G31">
        <v>1590.140702750072</v>
      </c>
      <c r="H31">
        <v>0</v>
      </c>
      <c r="I31">
        <v>0.6</v>
      </c>
      <c r="J31" t="b">
        <v>1</v>
      </c>
      <c r="K31">
        <v>1E+18</v>
      </c>
      <c r="L31">
        <v>0.3</v>
      </c>
      <c r="M31" t="b">
        <v>1</v>
      </c>
      <c r="N31">
        <v>100000000000</v>
      </c>
      <c r="O31">
        <v>0.36380431534200652</v>
      </c>
      <c r="P31">
        <v>0.17999108293882371</v>
      </c>
      <c r="Q31">
        <v>0.1189751197759312</v>
      </c>
      <c r="R31" t="s">
        <v>83</v>
      </c>
      <c r="S31" t="s">
        <v>84</v>
      </c>
      <c r="T31">
        <v>1.289935148733321</v>
      </c>
      <c r="U31">
        <v>275.54206502813179</v>
      </c>
      <c r="V31">
        <v>200.33402959983459</v>
      </c>
    </row>
    <row r="32" spans="1:26" hidden="1" x14ac:dyDescent="0.2">
      <c r="A32" t="s">
        <v>91</v>
      </c>
      <c r="B32" t="s">
        <v>30</v>
      </c>
      <c r="C32">
        <v>2.7</v>
      </c>
      <c r="D32">
        <v>65</v>
      </c>
      <c r="E32">
        <v>7.2193940989722707</v>
      </c>
      <c r="F32">
        <v>6.562516274472606</v>
      </c>
      <c r="G32">
        <v>1584.57411506069</v>
      </c>
      <c r="H32">
        <v>0</v>
      </c>
      <c r="I32">
        <v>0.6</v>
      </c>
      <c r="J32" t="b">
        <v>1</v>
      </c>
      <c r="K32">
        <v>1E+18</v>
      </c>
      <c r="L32">
        <v>0.3</v>
      </c>
      <c r="M32" t="b">
        <v>1</v>
      </c>
      <c r="N32">
        <v>100000000000</v>
      </c>
      <c r="O32">
        <v>0.36419609942622949</v>
      </c>
      <c r="P32">
        <v>0.17930553212555239</v>
      </c>
      <c r="Q32">
        <v>0.11853618800714209</v>
      </c>
      <c r="R32" t="s">
        <v>85</v>
      </c>
      <c r="S32" t="s">
        <v>86</v>
      </c>
      <c r="T32">
        <v>1.289935148733321</v>
      </c>
      <c r="U32">
        <v>271.54920591140541</v>
      </c>
      <c r="V32">
        <v>200.41481092130951</v>
      </c>
    </row>
    <row r="33" spans="1:26" hidden="1" x14ac:dyDescent="0.2">
      <c r="A33" t="s">
        <v>91</v>
      </c>
      <c r="B33" t="s">
        <v>30</v>
      </c>
      <c r="C33">
        <v>2.7</v>
      </c>
      <c r="D33">
        <v>60</v>
      </c>
      <c r="E33">
        <v>7.2195200834042694</v>
      </c>
      <c r="F33">
        <v>6.5645339452405329</v>
      </c>
      <c r="G33">
        <v>1578.623517416614</v>
      </c>
      <c r="H33">
        <v>0</v>
      </c>
      <c r="I33">
        <v>0.6</v>
      </c>
      <c r="J33" t="b">
        <v>1</v>
      </c>
      <c r="K33">
        <v>1E+18</v>
      </c>
      <c r="L33">
        <v>0.3</v>
      </c>
      <c r="M33" t="b">
        <v>1</v>
      </c>
      <c r="N33">
        <v>100000000000</v>
      </c>
      <c r="O33">
        <v>0.36458459977523339</v>
      </c>
      <c r="P33">
        <v>0.17863548532792509</v>
      </c>
      <c r="Q33">
        <v>0.1180748458403087</v>
      </c>
      <c r="R33" t="s">
        <v>87</v>
      </c>
      <c r="S33" t="s">
        <v>88</v>
      </c>
      <c r="T33">
        <v>1.289935148733321</v>
      </c>
      <c r="U33">
        <v>275.24577898532311</v>
      </c>
      <c r="V33">
        <v>200.4998647212314</v>
      </c>
    </row>
    <row r="34" spans="1:26" hidden="1" x14ac:dyDescent="0.2">
      <c r="A34" t="s">
        <v>91</v>
      </c>
      <c r="B34" t="s">
        <v>30</v>
      </c>
      <c r="C34">
        <v>2.8</v>
      </c>
      <c r="D34">
        <v>72</v>
      </c>
      <c r="E34">
        <v>7.2212757102350658</v>
      </c>
      <c r="F34">
        <v>6.5639007688205782</v>
      </c>
      <c r="G34">
        <v>1580.3970448961891</v>
      </c>
      <c r="H34">
        <v>0</v>
      </c>
      <c r="I34">
        <v>0.6</v>
      </c>
      <c r="J34" t="b">
        <v>1</v>
      </c>
      <c r="K34">
        <v>1E+18</v>
      </c>
      <c r="L34">
        <v>0.3</v>
      </c>
      <c r="M34" t="b">
        <v>1</v>
      </c>
      <c r="N34">
        <v>100000000000</v>
      </c>
      <c r="O34">
        <v>0.36448166123803061</v>
      </c>
      <c r="P34">
        <v>0.17885631666488069</v>
      </c>
      <c r="Q34">
        <v>0.1182329992904447</v>
      </c>
      <c r="R34" t="s">
        <v>89</v>
      </c>
      <c r="S34" t="s">
        <v>90</v>
      </c>
      <c r="T34">
        <v>1.289935148733321</v>
      </c>
      <c r="U34">
        <v>279.16942456366297</v>
      </c>
      <c r="V34">
        <v>200.47832272659599</v>
      </c>
    </row>
    <row r="35" spans="1:26" x14ac:dyDescent="0.2">
      <c r="A35" t="s">
        <v>91</v>
      </c>
      <c r="B35" t="s">
        <v>61</v>
      </c>
      <c r="C35">
        <v>2.7</v>
      </c>
      <c r="D35">
        <v>70</v>
      </c>
      <c r="E35">
        <v>6.7323053903909722</v>
      </c>
      <c r="F35">
        <v>6.0313342474355407</v>
      </c>
      <c r="G35">
        <v>1717.165756201776</v>
      </c>
      <c r="H35">
        <v>0</v>
      </c>
      <c r="I35">
        <v>0.9</v>
      </c>
      <c r="J35" t="b">
        <v>1</v>
      </c>
      <c r="K35">
        <v>1E+21</v>
      </c>
      <c r="L35">
        <v>0.3</v>
      </c>
      <c r="M35" t="b">
        <v>1</v>
      </c>
      <c r="N35">
        <v>100000000000</v>
      </c>
      <c r="O35">
        <v>0.36424564059894821</v>
      </c>
      <c r="P35">
        <v>0.19035198214598761</v>
      </c>
      <c r="Q35">
        <v>0.13668666099279059</v>
      </c>
      <c r="R35" t="s">
        <v>92</v>
      </c>
      <c r="S35" t="s">
        <v>93</v>
      </c>
      <c r="T35">
        <v>1.289935148733321</v>
      </c>
      <c r="U35">
        <v>210.92968022752561</v>
      </c>
      <c r="V35">
        <v>200.15841846749541</v>
      </c>
      <c r="W35">
        <f>VALUE(","&amp;MID(R35,4,10))</f>
        <v>0.17692684</v>
      </c>
      <c r="X35">
        <f>((O35-0.364)/0.0012)^2+((W35-0.174)/0.016)^2</f>
        <v>7.5364764597665723E-2</v>
      </c>
      <c r="Y35">
        <f>((O35-O$8)/0.0012)^2+((W35-W$8)/0.016)^2</f>
        <v>0.3088826341061055</v>
      </c>
      <c r="Z35" s="5">
        <f>Y35*100</f>
        <v>30.888263410610548</v>
      </c>
    </row>
    <row r="36" spans="1:26" hidden="1" x14ac:dyDescent="0.2">
      <c r="A36" t="s">
        <v>91</v>
      </c>
      <c r="B36" t="s">
        <v>61</v>
      </c>
      <c r="C36">
        <v>2.7</v>
      </c>
      <c r="D36">
        <v>70</v>
      </c>
      <c r="E36">
        <v>6.7323053903909722</v>
      </c>
      <c r="F36">
        <v>6.0313342474355407</v>
      </c>
      <c r="G36">
        <v>1717.165756201776</v>
      </c>
      <c r="H36">
        <v>0</v>
      </c>
      <c r="I36">
        <v>0.9</v>
      </c>
      <c r="J36" t="b">
        <v>1</v>
      </c>
      <c r="K36">
        <v>1E+20</v>
      </c>
      <c r="L36">
        <v>0.3</v>
      </c>
      <c r="M36" t="b">
        <v>1</v>
      </c>
      <c r="N36">
        <v>100000000000</v>
      </c>
      <c r="O36">
        <v>0.36424564059894821</v>
      </c>
      <c r="P36">
        <v>0.19035198214598761</v>
      </c>
      <c r="Q36">
        <v>0.13668666099279059</v>
      </c>
      <c r="R36" t="s">
        <v>94</v>
      </c>
      <c r="S36" t="s">
        <v>95</v>
      </c>
      <c r="T36">
        <v>1.289935148733321</v>
      </c>
      <c r="U36">
        <v>215.3562834610762</v>
      </c>
      <c r="V36">
        <v>200.15841846749541</v>
      </c>
    </row>
    <row r="37" spans="1:26" x14ac:dyDescent="0.2">
      <c r="A37" t="s">
        <v>91</v>
      </c>
      <c r="B37" t="s">
        <v>61</v>
      </c>
      <c r="C37">
        <v>2.7</v>
      </c>
      <c r="D37">
        <v>70</v>
      </c>
      <c r="E37">
        <v>6.8665588884409674</v>
      </c>
      <c r="F37">
        <v>6.1743340887854714</v>
      </c>
      <c r="G37">
        <v>1682.9275642017799</v>
      </c>
      <c r="H37">
        <v>0</v>
      </c>
      <c r="I37">
        <v>0.8</v>
      </c>
      <c r="J37" t="b">
        <v>1</v>
      </c>
      <c r="K37">
        <v>1E+21</v>
      </c>
      <c r="L37">
        <v>0.3</v>
      </c>
      <c r="M37" t="b">
        <v>1</v>
      </c>
      <c r="N37">
        <v>100000000000</v>
      </c>
      <c r="O37">
        <v>0.36397497822109459</v>
      </c>
      <c r="P37">
        <v>0.18780157904177761</v>
      </c>
      <c r="Q37">
        <v>0.13181143806768669</v>
      </c>
      <c r="R37" t="s">
        <v>96</v>
      </c>
      <c r="S37" t="s">
        <v>97</v>
      </c>
      <c r="T37">
        <v>1.289935148733321</v>
      </c>
      <c r="U37">
        <v>210.32086596369169</v>
      </c>
      <c r="V37">
        <v>200.24656519340829</v>
      </c>
      <c r="W37">
        <f>VALUE(","&amp;MID(R37,4,10))</f>
        <v>0.1696495311</v>
      </c>
      <c r="X37">
        <f>((O37-0.364)/0.0012)^2+((W37-0.174)/0.016)^2</f>
        <v>7.4366736076453541E-2</v>
      </c>
      <c r="Y37">
        <f>((O37-O$8)/0.0012)^2+((W37-W$8)/0.016)^2</f>
        <v>7.2914641127441143E-2</v>
      </c>
      <c r="Z37" s="5">
        <f>Y37*100</f>
        <v>7.291464112744114</v>
      </c>
    </row>
    <row r="38" spans="1:26" hidden="1" x14ac:dyDescent="0.2">
      <c r="A38" t="s">
        <v>91</v>
      </c>
      <c r="B38" t="s">
        <v>61</v>
      </c>
      <c r="C38">
        <v>2.7</v>
      </c>
      <c r="D38">
        <v>70</v>
      </c>
      <c r="E38">
        <v>6.8665588884409674</v>
      </c>
      <c r="F38">
        <v>6.1743340887854714</v>
      </c>
      <c r="G38">
        <v>1682.9275642017799</v>
      </c>
      <c r="H38">
        <v>0</v>
      </c>
      <c r="I38">
        <v>0.8</v>
      </c>
      <c r="J38" t="b">
        <v>1</v>
      </c>
      <c r="K38">
        <v>1E+20</v>
      </c>
      <c r="L38">
        <v>0.3</v>
      </c>
      <c r="M38" t="b">
        <v>1</v>
      </c>
      <c r="N38">
        <v>100000000000</v>
      </c>
      <c r="O38">
        <v>0.36397497822109459</v>
      </c>
      <c r="P38">
        <v>0.18780157904177761</v>
      </c>
      <c r="Q38">
        <v>0.13181143806768669</v>
      </c>
      <c r="R38" t="s">
        <v>98</v>
      </c>
      <c r="S38" t="s">
        <v>99</v>
      </c>
      <c r="T38">
        <v>1.289935148733321</v>
      </c>
      <c r="U38">
        <v>214.46272568118431</v>
      </c>
      <c r="V38">
        <v>200.24656519340829</v>
      </c>
    </row>
    <row r="39" spans="1:26" hidden="1" x14ac:dyDescent="0.2">
      <c r="A39" t="s">
        <v>91</v>
      </c>
      <c r="B39" t="s">
        <v>61</v>
      </c>
      <c r="C39">
        <v>2.7</v>
      </c>
      <c r="D39">
        <v>70</v>
      </c>
      <c r="E39">
        <v>6.8665588884409674</v>
      </c>
      <c r="F39">
        <v>6.1743340887854714</v>
      </c>
      <c r="G39">
        <v>1682.9275642017799</v>
      </c>
      <c r="H39">
        <v>0</v>
      </c>
      <c r="I39">
        <v>0.8</v>
      </c>
      <c r="J39" t="b">
        <v>1</v>
      </c>
      <c r="K39">
        <v>1E+19</v>
      </c>
      <c r="L39">
        <v>0.3</v>
      </c>
      <c r="M39" t="b">
        <v>1</v>
      </c>
      <c r="N39">
        <v>100000000000</v>
      </c>
      <c r="O39">
        <v>0.36397497822109459</v>
      </c>
      <c r="P39">
        <v>0.18780157904177761</v>
      </c>
      <c r="Q39">
        <v>0.13181143806768669</v>
      </c>
      <c r="R39" t="s">
        <v>100</v>
      </c>
      <c r="S39" t="s">
        <v>101</v>
      </c>
      <c r="T39">
        <v>1.289935148733321</v>
      </c>
      <c r="U39">
        <v>228.4024421578834</v>
      </c>
      <c r="V39">
        <v>200.24656519340829</v>
      </c>
    </row>
    <row r="40" spans="1:26" s="4" customFormat="1" x14ac:dyDescent="0.2">
      <c r="A40" s="4" t="s">
        <v>91</v>
      </c>
      <c r="B40" s="4" t="s">
        <v>61</v>
      </c>
      <c r="C40" s="4">
        <v>2.7</v>
      </c>
      <c r="D40" s="4">
        <v>65</v>
      </c>
      <c r="E40" s="4">
        <v>6.8635933241355698</v>
      </c>
      <c r="F40" s="4">
        <v>6.1766173765521977</v>
      </c>
      <c r="G40" s="4">
        <v>1677.0798202017811</v>
      </c>
      <c r="H40" s="4">
        <v>0</v>
      </c>
      <c r="I40" s="4">
        <v>0.8</v>
      </c>
      <c r="J40" s="4" t="b">
        <v>1</v>
      </c>
      <c r="K40" s="4">
        <v>1E+21</v>
      </c>
      <c r="L40" s="4">
        <v>0.3</v>
      </c>
      <c r="M40" s="4" t="b">
        <v>1</v>
      </c>
      <c r="N40" s="4">
        <v>100000000000</v>
      </c>
      <c r="O40" s="4">
        <v>0.36434730473133142</v>
      </c>
      <c r="P40" s="4">
        <v>0.18709733479733831</v>
      </c>
      <c r="Q40" s="4">
        <v>0.13125028472148981</v>
      </c>
      <c r="R40" s="4" t="s">
        <v>102</v>
      </c>
      <c r="S40" s="4" t="s">
        <v>103</v>
      </c>
      <c r="T40" s="4">
        <v>1.289935148733321</v>
      </c>
      <c r="U40" s="4">
        <v>210.3354511629999</v>
      </c>
      <c r="V40" s="4">
        <v>200.34489769529421</v>
      </c>
      <c r="W40" s="4">
        <f>VALUE(","&amp;MID(R40,4,10))</f>
        <v>0.1687438486</v>
      </c>
      <c r="X40" s="4">
        <f>((O40-0.364)/0.0012)^2+((W40-0.174)/0.016)^2</f>
        <v>0.19168275612231539</v>
      </c>
      <c r="Y40" s="4">
        <f>((O40-O$8)/0.0012)^2+((W40-W$8)/0.016)^2</f>
        <v>5.4668378327011047E-3</v>
      </c>
      <c r="Z40" s="6">
        <f>Y40*100</f>
        <v>0.54668378327011047</v>
      </c>
    </row>
    <row r="41" spans="1:26" hidden="1" x14ac:dyDescent="0.2">
      <c r="A41" t="s">
        <v>91</v>
      </c>
      <c r="B41" t="s">
        <v>61</v>
      </c>
      <c r="C41">
        <v>2.7</v>
      </c>
      <c r="D41">
        <v>65</v>
      </c>
      <c r="E41">
        <v>6.8635933241355698</v>
      </c>
      <c r="F41">
        <v>6.1766173765521977</v>
      </c>
      <c r="G41">
        <v>1677.0798202017811</v>
      </c>
      <c r="H41">
        <v>0</v>
      </c>
      <c r="I41">
        <v>0.8</v>
      </c>
      <c r="J41" t="b">
        <v>1</v>
      </c>
      <c r="K41">
        <v>1E+20</v>
      </c>
      <c r="L41">
        <v>0.3</v>
      </c>
      <c r="M41" t="b">
        <v>1</v>
      </c>
      <c r="N41">
        <v>100000000000</v>
      </c>
      <c r="O41">
        <v>0.36434730473133142</v>
      </c>
      <c r="P41">
        <v>0.18709733479733831</v>
      </c>
      <c r="Q41">
        <v>0.13125028472148981</v>
      </c>
      <c r="R41" t="s">
        <v>104</v>
      </c>
      <c r="S41" t="s">
        <v>105</v>
      </c>
      <c r="T41">
        <v>1.289935148733321</v>
      </c>
      <c r="U41">
        <v>214.45121198158961</v>
      </c>
      <c r="V41">
        <v>200.34489769529421</v>
      </c>
    </row>
    <row r="42" spans="1:26" hidden="1" x14ac:dyDescent="0.2">
      <c r="A42" t="s">
        <v>91</v>
      </c>
      <c r="B42" t="s">
        <v>61</v>
      </c>
      <c r="C42">
        <v>2.7</v>
      </c>
      <c r="D42">
        <v>65</v>
      </c>
      <c r="E42">
        <v>6.8635933241355698</v>
      </c>
      <c r="F42">
        <v>6.1766173765521977</v>
      </c>
      <c r="G42">
        <v>1677.0798202017811</v>
      </c>
      <c r="H42">
        <v>0</v>
      </c>
      <c r="I42">
        <v>0.8</v>
      </c>
      <c r="J42" t="b">
        <v>1</v>
      </c>
      <c r="K42">
        <v>1E+19</v>
      </c>
      <c r="L42">
        <v>0.3</v>
      </c>
      <c r="M42" t="b">
        <v>1</v>
      </c>
      <c r="N42">
        <v>100000000000</v>
      </c>
      <c r="O42">
        <v>0.36434730473133142</v>
      </c>
      <c r="P42">
        <v>0.18709733479733831</v>
      </c>
      <c r="Q42">
        <v>0.13125028472148981</v>
      </c>
      <c r="R42" t="s">
        <v>106</v>
      </c>
      <c r="S42" t="s">
        <v>107</v>
      </c>
      <c r="T42">
        <v>1.289935148733321</v>
      </c>
      <c r="U42">
        <v>228.2805598153966</v>
      </c>
      <c r="V42">
        <v>200.34489769529421</v>
      </c>
    </row>
    <row r="43" spans="1:26" hidden="1" x14ac:dyDescent="0.2">
      <c r="A43" t="s">
        <v>91</v>
      </c>
      <c r="B43" t="s">
        <v>61</v>
      </c>
      <c r="C43">
        <v>2.7</v>
      </c>
      <c r="D43">
        <v>72</v>
      </c>
      <c r="E43">
        <v>7.018224466406437</v>
      </c>
      <c r="F43">
        <v>6.3322210268830856</v>
      </c>
      <c r="G43">
        <v>1649.9999661008001</v>
      </c>
      <c r="H43">
        <v>0</v>
      </c>
      <c r="I43">
        <v>0.7</v>
      </c>
      <c r="J43" t="b">
        <v>1</v>
      </c>
      <c r="K43">
        <v>1E+20</v>
      </c>
      <c r="L43">
        <v>0.3</v>
      </c>
      <c r="M43" t="b">
        <v>1</v>
      </c>
      <c r="N43">
        <v>100000000000</v>
      </c>
      <c r="O43">
        <v>0.36355050915786152</v>
      </c>
      <c r="P43">
        <v>0.18524769579302261</v>
      </c>
      <c r="Q43">
        <v>0.12729877878404069</v>
      </c>
      <c r="R43" t="s">
        <v>108</v>
      </c>
      <c r="S43" t="s">
        <v>109</v>
      </c>
      <c r="T43">
        <v>1.289935148733321</v>
      </c>
      <c r="U43">
        <v>213.6376248109807</v>
      </c>
      <c r="V43">
        <v>200.2868253353833</v>
      </c>
    </row>
    <row r="44" spans="1:26" hidden="1" x14ac:dyDescent="0.2">
      <c r="A44" t="s">
        <v>91</v>
      </c>
      <c r="B44" t="s">
        <v>61</v>
      </c>
      <c r="C44">
        <v>2.7</v>
      </c>
      <c r="D44">
        <v>70</v>
      </c>
      <c r="E44">
        <v>7.0163988650019018</v>
      </c>
      <c r="F44">
        <v>6.3330328772794706</v>
      </c>
      <c r="G44">
        <v>1647.767971627753</v>
      </c>
      <c r="H44">
        <v>0</v>
      </c>
      <c r="I44">
        <v>0.7</v>
      </c>
      <c r="J44" t="b">
        <v>1</v>
      </c>
      <c r="K44">
        <v>1E+19</v>
      </c>
      <c r="L44">
        <v>0.3</v>
      </c>
      <c r="M44" t="b">
        <v>1</v>
      </c>
      <c r="N44">
        <v>100000000000</v>
      </c>
      <c r="O44">
        <v>0.36370129169846471</v>
      </c>
      <c r="P44">
        <v>0.18497372583279401</v>
      </c>
      <c r="Q44">
        <v>0.12710364940425059</v>
      </c>
      <c r="R44" t="s">
        <v>110</v>
      </c>
      <c r="S44" t="s">
        <v>111</v>
      </c>
      <c r="T44">
        <v>1.289935148733321</v>
      </c>
      <c r="U44">
        <v>226.55472070696081</v>
      </c>
      <c r="V44">
        <v>200.32396065274381</v>
      </c>
    </row>
    <row r="45" spans="1:26" hidden="1" x14ac:dyDescent="0.2">
      <c r="A45" t="s">
        <v>91</v>
      </c>
      <c r="B45" t="s">
        <v>61</v>
      </c>
      <c r="C45">
        <v>2.7</v>
      </c>
      <c r="D45">
        <v>65</v>
      </c>
      <c r="E45">
        <v>7.0121333191734978</v>
      </c>
      <c r="F45">
        <v>6.3350721020697982</v>
      </c>
      <c r="G45">
        <v>1642.140525481776</v>
      </c>
      <c r="H45">
        <v>0</v>
      </c>
      <c r="I45">
        <v>0.7</v>
      </c>
      <c r="J45" t="b">
        <v>1</v>
      </c>
      <c r="K45">
        <v>1E+19</v>
      </c>
      <c r="L45">
        <v>0.3</v>
      </c>
      <c r="M45" t="b">
        <v>1</v>
      </c>
      <c r="N45">
        <v>100000000000</v>
      </c>
      <c r="O45">
        <v>0.36407974836443452</v>
      </c>
      <c r="P45">
        <v>0.18428698108367081</v>
      </c>
      <c r="Q45">
        <v>0.126616066366567</v>
      </c>
      <c r="R45" t="s">
        <v>112</v>
      </c>
      <c r="S45" t="s">
        <v>113</v>
      </c>
      <c r="T45">
        <v>1.289935148733321</v>
      </c>
      <c r="U45">
        <v>226.40404990854989</v>
      </c>
      <c r="V45">
        <v>200.41660781260961</v>
      </c>
    </row>
    <row r="46" spans="1:26" hidden="1" x14ac:dyDescent="0.2">
      <c r="A46" t="s">
        <v>91</v>
      </c>
      <c r="B46" t="s">
        <v>61</v>
      </c>
      <c r="C46">
        <v>2.7</v>
      </c>
      <c r="D46">
        <v>60</v>
      </c>
      <c r="E46">
        <v>7.0117198443015551</v>
      </c>
      <c r="F46">
        <v>6.3372360283512714</v>
      </c>
      <c r="G46">
        <v>1636.239345395775</v>
      </c>
      <c r="H46">
        <v>0</v>
      </c>
      <c r="I46">
        <v>0.7</v>
      </c>
      <c r="J46" t="b">
        <v>1</v>
      </c>
      <c r="K46">
        <v>1E+19</v>
      </c>
      <c r="L46">
        <v>0.3</v>
      </c>
      <c r="M46" t="b">
        <v>1</v>
      </c>
      <c r="N46">
        <v>100000000000</v>
      </c>
      <c r="O46">
        <v>0.36445654722924159</v>
      </c>
      <c r="P46">
        <v>0.1836072673458348</v>
      </c>
      <c r="Q46">
        <v>0.1260956468391734</v>
      </c>
      <c r="R46" t="s">
        <v>114</v>
      </c>
      <c r="S46" t="s">
        <v>115</v>
      </c>
      <c r="T46">
        <v>1.289935148733321</v>
      </c>
      <c r="U46">
        <v>226.2915855719354</v>
      </c>
      <c r="V46">
        <v>200.5094189090816</v>
      </c>
    </row>
    <row r="47" spans="1:26" hidden="1" x14ac:dyDescent="0.2">
      <c r="A47" t="s">
        <v>91</v>
      </c>
      <c r="B47" t="s">
        <v>61</v>
      </c>
      <c r="C47">
        <v>2.8</v>
      </c>
      <c r="D47">
        <v>70</v>
      </c>
      <c r="E47">
        <v>7.0113926751544566</v>
      </c>
      <c r="F47">
        <v>6.337287305549081</v>
      </c>
      <c r="G47">
        <v>1635.9422523193359</v>
      </c>
      <c r="H47">
        <v>0</v>
      </c>
      <c r="I47">
        <v>0.7</v>
      </c>
      <c r="J47" t="b">
        <v>1</v>
      </c>
      <c r="K47">
        <v>1E+19</v>
      </c>
      <c r="L47">
        <v>0.3</v>
      </c>
      <c r="M47" t="b">
        <v>1</v>
      </c>
      <c r="N47">
        <v>100000000000</v>
      </c>
      <c r="O47">
        <v>0.36449729718350188</v>
      </c>
      <c r="P47">
        <v>0.18357335034146069</v>
      </c>
      <c r="Q47">
        <v>0.126097419010919</v>
      </c>
      <c r="R47" t="s">
        <v>116</v>
      </c>
      <c r="S47" t="s">
        <v>117</v>
      </c>
      <c r="T47">
        <v>1.289935148733321</v>
      </c>
      <c r="U47">
        <v>226.2104006516204</v>
      </c>
      <c r="V47">
        <v>200.5189311139799</v>
      </c>
    </row>
    <row r="48" spans="1:26" hidden="1" x14ac:dyDescent="0.2">
      <c r="A48" t="s">
        <v>91</v>
      </c>
      <c r="B48" t="s">
        <v>61</v>
      </c>
      <c r="C48">
        <v>2.7</v>
      </c>
      <c r="D48">
        <v>70</v>
      </c>
      <c r="E48">
        <v>7.1857200711460996</v>
      </c>
      <c r="F48">
        <v>6.5105652698043563</v>
      </c>
      <c r="G48">
        <v>1611.4945606065739</v>
      </c>
      <c r="H48">
        <v>0</v>
      </c>
      <c r="I48">
        <v>0.6</v>
      </c>
      <c r="J48" t="b">
        <v>1</v>
      </c>
      <c r="K48">
        <v>1E+18</v>
      </c>
      <c r="L48">
        <v>0.3</v>
      </c>
      <c r="M48" t="b">
        <v>1</v>
      </c>
      <c r="N48">
        <v>100000000000</v>
      </c>
      <c r="O48">
        <v>0.36342298429199837</v>
      </c>
      <c r="P48">
        <v>0.18176394928892339</v>
      </c>
      <c r="Q48">
        <v>0.12255220301831971</v>
      </c>
      <c r="R48" t="s">
        <v>118</v>
      </c>
      <c r="S48" t="s">
        <v>119</v>
      </c>
      <c r="T48">
        <v>1.289935148733321</v>
      </c>
      <c r="U48">
        <v>283.5882264266038</v>
      </c>
      <c r="V48">
        <v>200.3922301947797</v>
      </c>
    </row>
    <row r="49" spans="1:26" hidden="1" x14ac:dyDescent="0.2">
      <c r="A49" t="s">
        <v>91</v>
      </c>
      <c r="B49" t="s">
        <v>61</v>
      </c>
      <c r="C49">
        <v>2.7</v>
      </c>
      <c r="D49">
        <v>65</v>
      </c>
      <c r="E49">
        <v>7.1806251187134498</v>
      </c>
      <c r="F49">
        <v>6.5123776526512058</v>
      </c>
      <c r="G49">
        <v>1606.054352466407</v>
      </c>
      <c r="H49">
        <v>0</v>
      </c>
      <c r="I49">
        <v>0.6</v>
      </c>
      <c r="J49" t="b">
        <v>1</v>
      </c>
      <c r="K49">
        <v>1E+18</v>
      </c>
      <c r="L49">
        <v>0.3</v>
      </c>
      <c r="M49" t="b">
        <v>1</v>
      </c>
      <c r="N49">
        <v>100000000000</v>
      </c>
      <c r="O49">
        <v>0.36380697615833818</v>
      </c>
      <c r="P49">
        <v>0.1810962095124441</v>
      </c>
      <c r="Q49">
        <v>0.12212780981228021</v>
      </c>
      <c r="R49" t="s">
        <v>120</v>
      </c>
      <c r="S49" t="s">
        <v>121</v>
      </c>
      <c r="T49">
        <v>1.289935148733321</v>
      </c>
      <c r="U49">
        <v>284.54373774220483</v>
      </c>
      <c r="V49">
        <v>200.47944493266891</v>
      </c>
    </row>
    <row r="50" spans="1:26" hidden="1" x14ac:dyDescent="0.2">
      <c r="A50" t="s">
        <v>91</v>
      </c>
      <c r="B50" t="s">
        <v>61</v>
      </c>
      <c r="C50">
        <v>2.7</v>
      </c>
      <c r="D50">
        <v>60</v>
      </c>
      <c r="E50">
        <v>7.1755395227347032</v>
      </c>
      <c r="F50">
        <v>6.5141830994775871</v>
      </c>
      <c r="G50">
        <v>1600.572546664961</v>
      </c>
      <c r="H50">
        <v>0</v>
      </c>
      <c r="I50">
        <v>0.6</v>
      </c>
      <c r="J50" t="b">
        <v>1</v>
      </c>
      <c r="K50">
        <v>1E+18</v>
      </c>
      <c r="L50">
        <v>0.3</v>
      </c>
      <c r="M50" t="b">
        <v>1</v>
      </c>
      <c r="N50">
        <v>100000000000</v>
      </c>
      <c r="O50">
        <v>0.36419354339632032</v>
      </c>
      <c r="P50">
        <v>0.18042464825766319</v>
      </c>
      <c r="Q50">
        <v>0.12171474484841931</v>
      </c>
      <c r="R50" t="s">
        <v>122</v>
      </c>
      <c r="S50" t="s">
        <v>123</v>
      </c>
      <c r="T50">
        <v>1.289935148733321</v>
      </c>
      <c r="U50">
        <v>284.12369948942751</v>
      </c>
      <c r="V50">
        <v>200.56761676203431</v>
      </c>
    </row>
    <row r="51" spans="1:26" hidden="1" x14ac:dyDescent="0.2">
      <c r="A51" t="s">
        <v>91</v>
      </c>
      <c r="B51" t="s">
        <v>61</v>
      </c>
      <c r="C51">
        <v>2.7</v>
      </c>
      <c r="D51">
        <v>55</v>
      </c>
      <c r="E51">
        <v>7.1760652277682819</v>
      </c>
      <c r="F51">
        <v>6.5161634702154734</v>
      </c>
      <c r="G51">
        <v>1594.7207956512129</v>
      </c>
      <c r="H51">
        <v>0</v>
      </c>
      <c r="I51">
        <v>0.6</v>
      </c>
      <c r="J51" t="b">
        <v>1</v>
      </c>
      <c r="K51">
        <v>1E+18</v>
      </c>
      <c r="L51">
        <v>0.3</v>
      </c>
      <c r="M51" t="b">
        <v>1</v>
      </c>
      <c r="N51">
        <v>100000000000</v>
      </c>
      <c r="O51">
        <v>0.36457675977580428</v>
      </c>
      <c r="P51">
        <v>0.17976786514909951</v>
      </c>
      <c r="Q51">
        <v>0.1212503006022967</v>
      </c>
      <c r="R51" t="s">
        <v>124</v>
      </c>
      <c r="S51" t="s">
        <v>125</v>
      </c>
      <c r="T51">
        <v>1.289935148733321</v>
      </c>
      <c r="U51">
        <v>283.61515988966272</v>
      </c>
      <c r="V51">
        <v>200.65507798030251</v>
      </c>
    </row>
    <row r="52" spans="1:26" hidden="1" x14ac:dyDescent="0.2">
      <c r="A52" t="s">
        <v>91</v>
      </c>
      <c r="B52" t="s">
        <v>61</v>
      </c>
      <c r="C52">
        <v>2.8</v>
      </c>
      <c r="D52">
        <v>70</v>
      </c>
      <c r="E52">
        <v>7.1752206070047464</v>
      </c>
      <c r="F52">
        <v>6.5142257493304658</v>
      </c>
      <c r="G52">
        <v>1600.2816861975921</v>
      </c>
      <c r="H52">
        <v>0</v>
      </c>
      <c r="I52">
        <v>0.6</v>
      </c>
      <c r="J52" t="b">
        <v>1</v>
      </c>
      <c r="K52">
        <v>1E+18</v>
      </c>
      <c r="L52">
        <v>0.3</v>
      </c>
      <c r="M52" t="b">
        <v>1</v>
      </c>
      <c r="N52">
        <v>100000000000</v>
      </c>
      <c r="O52">
        <v>0.36423452179714028</v>
      </c>
      <c r="P52">
        <v>0.18039171877346441</v>
      </c>
      <c r="Q52">
        <v>0.12170125054100731</v>
      </c>
      <c r="R52" t="s">
        <v>126</v>
      </c>
      <c r="S52" t="s">
        <v>127</v>
      </c>
      <c r="T52">
        <v>1.289935148733321</v>
      </c>
      <c r="U52">
        <v>282.39823114141439</v>
      </c>
      <c r="V52">
        <v>200.57374992767009</v>
      </c>
    </row>
    <row r="53" spans="1:26" hidden="1" x14ac:dyDescent="0.2">
      <c r="A53" t="s">
        <v>91</v>
      </c>
      <c r="B53" t="s">
        <v>61</v>
      </c>
      <c r="C53">
        <v>2.8</v>
      </c>
      <c r="D53">
        <v>65</v>
      </c>
      <c r="E53">
        <v>7.1765048256541393</v>
      </c>
      <c r="F53">
        <v>6.5159518538551744</v>
      </c>
      <c r="G53">
        <v>1595.2307710753209</v>
      </c>
      <c r="H53">
        <v>0</v>
      </c>
      <c r="I53">
        <v>0.6</v>
      </c>
      <c r="J53" t="b">
        <v>1</v>
      </c>
      <c r="K53">
        <v>1E+18</v>
      </c>
      <c r="L53">
        <v>0.3</v>
      </c>
      <c r="M53" t="b">
        <v>1</v>
      </c>
      <c r="N53">
        <v>100000000000</v>
      </c>
      <c r="O53">
        <v>0.3645585089216743</v>
      </c>
      <c r="P53">
        <v>0.1798325712091805</v>
      </c>
      <c r="Q53">
        <v>0.12130852142118639</v>
      </c>
      <c r="R53" t="s">
        <v>128</v>
      </c>
      <c r="S53" t="s">
        <v>129</v>
      </c>
      <c r="T53">
        <v>1.289935148733321</v>
      </c>
      <c r="U53">
        <v>283.42423114254211</v>
      </c>
      <c r="V53">
        <v>200.6506446592586</v>
      </c>
    </row>
    <row r="54" spans="1:26" hidden="1" x14ac:dyDescent="0.2">
      <c r="A54" t="s">
        <v>91</v>
      </c>
      <c r="B54" t="s">
        <v>61</v>
      </c>
      <c r="C54">
        <v>2.7</v>
      </c>
      <c r="D54">
        <v>65</v>
      </c>
      <c r="E54">
        <v>7.3717792034958816</v>
      </c>
      <c r="F54">
        <v>6.7124672274797792</v>
      </c>
      <c r="G54">
        <v>1568.723440747214</v>
      </c>
      <c r="H54">
        <v>0</v>
      </c>
      <c r="I54">
        <v>0.5</v>
      </c>
      <c r="J54" t="b">
        <v>1</v>
      </c>
      <c r="K54">
        <v>1E+18</v>
      </c>
      <c r="L54">
        <v>0.3</v>
      </c>
      <c r="M54" t="b">
        <v>1</v>
      </c>
      <c r="N54">
        <v>100000000000</v>
      </c>
      <c r="O54">
        <v>0.36352960780998272</v>
      </c>
      <c r="P54">
        <v>0.17737118078875849</v>
      </c>
      <c r="Q54">
        <v>0.11778355727646379</v>
      </c>
      <c r="R54" t="s">
        <v>130</v>
      </c>
      <c r="S54" t="s">
        <v>131</v>
      </c>
      <c r="T54">
        <v>1.289935148733321</v>
      </c>
      <c r="U54">
        <v>277.15746860995989</v>
      </c>
      <c r="V54">
        <v>200.53266197918239</v>
      </c>
    </row>
    <row r="55" spans="1:26" hidden="1" x14ac:dyDescent="0.2">
      <c r="A55" t="s">
        <v>91</v>
      </c>
      <c r="B55" t="s">
        <v>61</v>
      </c>
      <c r="C55">
        <v>2.7</v>
      </c>
      <c r="D55">
        <v>60</v>
      </c>
      <c r="E55">
        <v>7.3665606179476786</v>
      </c>
      <c r="F55">
        <v>6.7140660062655337</v>
      </c>
      <c r="G55">
        <v>1563.3866872444601</v>
      </c>
      <c r="H55">
        <v>0</v>
      </c>
      <c r="I55">
        <v>0.5</v>
      </c>
      <c r="J55" t="b">
        <v>1</v>
      </c>
      <c r="K55">
        <v>1E+18</v>
      </c>
      <c r="L55">
        <v>0.3</v>
      </c>
      <c r="M55" t="b">
        <v>1</v>
      </c>
      <c r="N55">
        <v>100000000000</v>
      </c>
      <c r="O55">
        <v>0.36392093790510782</v>
      </c>
      <c r="P55">
        <v>0.17672192001147441</v>
      </c>
      <c r="Q55">
        <v>0.11741102563052359</v>
      </c>
      <c r="R55" t="s">
        <v>132</v>
      </c>
      <c r="S55" t="s">
        <v>133</v>
      </c>
      <c r="T55">
        <v>1.289935148733321</v>
      </c>
      <c r="U55">
        <v>276.78393495599602</v>
      </c>
      <c r="V55">
        <v>200.61372294185139</v>
      </c>
    </row>
    <row r="56" spans="1:26" hidden="1" x14ac:dyDescent="0.2">
      <c r="A56" t="s">
        <v>91</v>
      </c>
      <c r="B56" t="s">
        <v>61</v>
      </c>
      <c r="C56">
        <v>2.7</v>
      </c>
      <c r="D56">
        <v>55</v>
      </c>
      <c r="E56">
        <v>7.3613096983828132</v>
      </c>
      <c r="F56">
        <v>6.7156584571094093</v>
      </c>
      <c r="G56">
        <v>1558.0102875147909</v>
      </c>
      <c r="H56">
        <v>0</v>
      </c>
      <c r="I56">
        <v>0.5</v>
      </c>
      <c r="J56" t="b">
        <v>1</v>
      </c>
      <c r="K56">
        <v>1E+18</v>
      </c>
      <c r="L56">
        <v>0.3</v>
      </c>
      <c r="M56" t="b">
        <v>1</v>
      </c>
      <c r="N56">
        <v>100000000000</v>
      </c>
      <c r="O56">
        <v>0.36431481607166688</v>
      </c>
      <c r="P56">
        <v>0.17606856085923719</v>
      </c>
      <c r="Q56">
        <v>0.1170658507664477</v>
      </c>
      <c r="R56" t="s">
        <v>134</v>
      </c>
      <c r="S56" t="s">
        <v>135</v>
      </c>
      <c r="T56">
        <v>1.289935148733321</v>
      </c>
      <c r="U56">
        <v>276.72616158940349</v>
      </c>
      <c r="V56">
        <v>200.69852330785631</v>
      </c>
    </row>
    <row r="57" spans="1:26" hidden="1" x14ac:dyDescent="0.2">
      <c r="A57" t="s">
        <v>91</v>
      </c>
      <c r="B57" t="s">
        <v>61</v>
      </c>
      <c r="C57">
        <v>2.8</v>
      </c>
      <c r="D57">
        <v>70</v>
      </c>
      <c r="E57">
        <v>7.3662354245451436</v>
      </c>
      <c r="F57">
        <v>6.7140996027934392</v>
      </c>
      <c r="G57">
        <v>1563.102863757892</v>
      </c>
      <c r="H57">
        <v>0</v>
      </c>
      <c r="I57">
        <v>0.5</v>
      </c>
      <c r="J57" t="b">
        <v>1</v>
      </c>
      <c r="K57">
        <v>1E+18</v>
      </c>
      <c r="L57">
        <v>0.3</v>
      </c>
      <c r="M57" t="b">
        <v>1</v>
      </c>
      <c r="N57">
        <v>100000000000</v>
      </c>
      <c r="O57">
        <v>0.36396216625682998</v>
      </c>
      <c r="P57">
        <v>0.17669000923435199</v>
      </c>
      <c r="Q57">
        <v>0.117414890823911</v>
      </c>
      <c r="R57" t="s">
        <v>136</v>
      </c>
      <c r="S57" t="s">
        <v>137</v>
      </c>
      <c r="T57">
        <v>1.289935148733321</v>
      </c>
      <c r="U57">
        <v>276.83150367454999</v>
      </c>
      <c r="V57">
        <v>200.62208939768041</v>
      </c>
    </row>
    <row r="58" spans="1:26" hidden="1" x14ac:dyDescent="0.2">
      <c r="A58" t="s">
        <v>91</v>
      </c>
      <c r="B58" t="s">
        <v>61</v>
      </c>
      <c r="C58">
        <v>2.8</v>
      </c>
      <c r="D58">
        <v>65</v>
      </c>
      <c r="E58">
        <v>7.3617554351200152</v>
      </c>
      <c r="F58">
        <v>6.7154691347130848</v>
      </c>
      <c r="G58">
        <v>1558.5062784953709</v>
      </c>
      <c r="H58">
        <v>0</v>
      </c>
      <c r="I58">
        <v>0.5</v>
      </c>
      <c r="J58" t="b">
        <v>1</v>
      </c>
      <c r="K58">
        <v>1E+18</v>
      </c>
      <c r="L58">
        <v>0.3</v>
      </c>
      <c r="M58" t="b">
        <v>1</v>
      </c>
      <c r="N58">
        <v>100000000000</v>
      </c>
      <c r="O58">
        <v>0.36429614122570819</v>
      </c>
      <c r="P58">
        <v>0.17613106963427491</v>
      </c>
      <c r="Q58">
        <v>0.1170934900572129</v>
      </c>
      <c r="R58" t="s">
        <v>138</v>
      </c>
      <c r="S58" t="s">
        <v>139</v>
      </c>
      <c r="T58">
        <v>1.289935148733321</v>
      </c>
      <c r="U58">
        <v>278.19251691365901</v>
      </c>
      <c r="V58">
        <v>200.6901151951929</v>
      </c>
    </row>
    <row r="59" spans="1:26" x14ac:dyDescent="0.2">
      <c r="A59" t="s">
        <v>180</v>
      </c>
      <c r="B59" t="s">
        <v>181</v>
      </c>
      <c r="C59">
        <v>2.7</v>
      </c>
      <c r="D59">
        <v>70</v>
      </c>
      <c r="E59">
        <v>6.692090443222722</v>
      </c>
      <c r="F59">
        <v>5.9776470567661324</v>
      </c>
      <c r="G59">
        <v>1732.0814042017751</v>
      </c>
      <c r="H59">
        <v>0</v>
      </c>
      <c r="I59">
        <v>1</v>
      </c>
      <c r="J59" t="b">
        <v>1</v>
      </c>
      <c r="K59">
        <v>1E+21</v>
      </c>
      <c r="L59">
        <v>0.3</v>
      </c>
      <c r="M59" t="b">
        <v>1</v>
      </c>
      <c r="N59">
        <v>100000000000</v>
      </c>
      <c r="O59">
        <v>0.36435800596911072</v>
      </c>
      <c r="P59">
        <v>0.1924104827684375</v>
      </c>
      <c r="Q59">
        <v>0.13544021306301501</v>
      </c>
      <c r="R59" t="s">
        <v>140</v>
      </c>
      <c r="S59" t="s">
        <v>141</v>
      </c>
      <c r="T59">
        <v>1.289935148733321</v>
      </c>
      <c r="U59">
        <v>210.02846845897909</v>
      </c>
      <c r="V59">
        <v>199.50143539569859</v>
      </c>
      <c r="W59">
        <f>VALUE(","&amp;MID(R59,4,10))</f>
        <v>0.17537350609999999</v>
      </c>
      <c r="X59">
        <f>((O59-0.364)/0.0012)^2+((W59-0.174)/0.016)^2</f>
        <v>9.6374960647090516E-2</v>
      </c>
      <c r="Y59">
        <f>((O59-O$8)/0.0012)^2+((W59-W$8)/0.016)^2</f>
        <v>0.21456801273735668</v>
      </c>
      <c r="Z59" s="5">
        <f>Y59*100</f>
        <v>21.456801273735667</v>
      </c>
    </row>
    <row r="60" spans="1:26" hidden="1" x14ac:dyDescent="0.2">
      <c r="A60" t="s">
        <v>180</v>
      </c>
      <c r="B60" t="s">
        <v>181</v>
      </c>
      <c r="C60">
        <v>2.7</v>
      </c>
      <c r="D60">
        <v>70</v>
      </c>
      <c r="E60">
        <v>6.692090443222722</v>
      </c>
      <c r="F60">
        <v>5.9776470567661324</v>
      </c>
      <c r="G60">
        <v>1732.0814042017751</v>
      </c>
      <c r="H60">
        <v>0</v>
      </c>
      <c r="I60">
        <v>1</v>
      </c>
      <c r="J60" t="b">
        <v>1</v>
      </c>
      <c r="K60">
        <v>1E+20</v>
      </c>
      <c r="L60">
        <v>0.3</v>
      </c>
      <c r="M60" t="b">
        <v>1</v>
      </c>
      <c r="N60">
        <v>100000000000</v>
      </c>
      <c r="O60">
        <v>0.36435800596911072</v>
      </c>
      <c r="P60">
        <v>0.1924104827684375</v>
      </c>
      <c r="Q60">
        <v>0.13544021306301501</v>
      </c>
      <c r="R60" t="s">
        <v>142</v>
      </c>
      <c r="S60" t="s">
        <v>143</v>
      </c>
      <c r="T60">
        <v>1.289935148733321</v>
      </c>
      <c r="U60">
        <v>214.26699122822879</v>
      </c>
      <c r="V60">
        <v>199.50143539569859</v>
      </c>
    </row>
    <row r="61" spans="1:26" s="4" customFormat="1" x14ac:dyDescent="0.2">
      <c r="A61" s="4" t="s">
        <v>180</v>
      </c>
      <c r="B61" s="4" t="s">
        <v>181</v>
      </c>
      <c r="C61" s="4">
        <v>2.7</v>
      </c>
      <c r="D61" s="4">
        <v>70</v>
      </c>
      <c r="E61" s="4">
        <v>6.8147860882115552</v>
      </c>
      <c r="F61" s="4">
        <v>6.1089705951207991</v>
      </c>
      <c r="G61" s="4">
        <v>1699.538172201778</v>
      </c>
      <c r="H61" s="4">
        <v>0</v>
      </c>
      <c r="I61" s="4">
        <v>0.9</v>
      </c>
      <c r="J61" s="4" t="b">
        <v>1</v>
      </c>
      <c r="K61" s="4">
        <v>1E+21</v>
      </c>
      <c r="L61" s="4">
        <v>0.3</v>
      </c>
      <c r="M61" s="4" t="b">
        <v>1</v>
      </c>
      <c r="N61" s="4">
        <v>100000000000</v>
      </c>
      <c r="O61" s="4">
        <v>0.36409942787402622</v>
      </c>
      <c r="P61" s="4">
        <v>0.19013118469297499</v>
      </c>
      <c r="Q61" s="4">
        <v>0.13076291466225259</v>
      </c>
      <c r="R61" s="4" t="s">
        <v>144</v>
      </c>
      <c r="S61" s="4" t="s">
        <v>145</v>
      </c>
      <c r="T61" s="4">
        <v>1.289935148733321</v>
      </c>
      <c r="U61" s="4">
        <v>209.5126728961325</v>
      </c>
      <c r="V61" s="4">
        <v>199.60939203998129</v>
      </c>
      <c r="W61" s="4">
        <f>VALUE(","&amp;MID(R61,4,10))</f>
        <v>0.1685369699</v>
      </c>
      <c r="X61" s="4">
        <f>((O61-0.364)/0.0012)^2+((W61-0.174)/0.016)^2</f>
        <v>0.12344606088322606</v>
      </c>
      <c r="Y61" s="4">
        <f>((O61-O$8)/0.0012)^2+((W61-W$8)/0.016)^2</f>
        <v>2.2551461597990853E-2</v>
      </c>
      <c r="Z61" s="6">
        <f>Y61*100</f>
        <v>2.2551461597990854</v>
      </c>
    </row>
    <row r="62" spans="1:26" hidden="1" x14ac:dyDescent="0.2">
      <c r="A62" t="s">
        <v>180</v>
      </c>
      <c r="B62" t="s">
        <v>181</v>
      </c>
      <c r="C62">
        <v>2.7</v>
      </c>
      <c r="D62">
        <v>70</v>
      </c>
      <c r="E62">
        <v>6.8147860882115552</v>
      </c>
      <c r="F62">
        <v>6.1089705951207991</v>
      </c>
      <c r="G62">
        <v>1699.538172201778</v>
      </c>
      <c r="H62">
        <v>0</v>
      </c>
      <c r="I62">
        <v>0.9</v>
      </c>
      <c r="J62" t="b">
        <v>1</v>
      </c>
      <c r="K62">
        <v>1E+20</v>
      </c>
      <c r="L62">
        <v>0.3</v>
      </c>
      <c r="M62" t="b">
        <v>1</v>
      </c>
      <c r="N62">
        <v>100000000000</v>
      </c>
      <c r="O62">
        <v>0.36409942787402622</v>
      </c>
      <c r="P62">
        <v>0.19013118469297499</v>
      </c>
      <c r="Q62">
        <v>0.13076291466225259</v>
      </c>
      <c r="R62" t="s">
        <v>146</v>
      </c>
      <c r="S62" t="s">
        <v>147</v>
      </c>
      <c r="T62">
        <v>1.289935148733321</v>
      </c>
      <c r="U62">
        <v>213.49836492131121</v>
      </c>
      <c r="V62">
        <v>199.60939203998129</v>
      </c>
    </row>
    <row r="63" spans="1:26" hidden="1" x14ac:dyDescent="0.2">
      <c r="A63" t="s">
        <v>180</v>
      </c>
      <c r="B63" t="s">
        <v>181</v>
      </c>
      <c r="C63">
        <v>2.7</v>
      </c>
      <c r="D63">
        <v>70</v>
      </c>
      <c r="E63">
        <v>6.8147860882115552</v>
      </c>
      <c r="F63">
        <v>6.1089705951207991</v>
      </c>
      <c r="G63">
        <v>1699.538172201778</v>
      </c>
      <c r="H63">
        <v>0</v>
      </c>
      <c r="I63">
        <v>0.9</v>
      </c>
      <c r="J63" t="b">
        <v>1</v>
      </c>
      <c r="K63">
        <v>1E+19</v>
      </c>
      <c r="L63">
        <v>0.3</v>
      </c>
      <c r="M63" t="b">
        <v>1</v>
      </c>
      <c r="N63">
        <v>100000000000</v>
      </c>
      <c r="O63">
        <v>0.36409942787402622</v>
      </c>
      <c r="P63">
        <v>0.19013118469297499</v>
      </c>
      <c r="Q63">
        <v>0.13076291466225259</v>
      </c>
      <c r="R63" t="s">
        <v>148</v>
      </c>
      <c r="S63" t="s">
        <v>149</v>
      </c>
      <c r="T63">
        <v>1.289935148733321</v>
      </c>
      <c r="U63">
        <v>227.08222319437581</v>
      </c>
      <c r="V63">
        <v>199.60939203998129</v>
      </c>
    </row>
    <row r="64" spans="1:26" x14ac:dyDescent="0.2">
      <c r="A64" t="s">
        <v>180</v>
      </c>
      <c r="B64" t="s">
        <v>181</v>
      </c>
      <c r="C64">
        <v>2.7</v>
      </c>
      <c r="D64">
        <v>65</v>
      </c>
      <c r="E64">
        <v>6.8090445434656379</v>
      </c>
      <c r="F64">
        <v>6.1114012712470194</v>
      </c>
      <c r="G64">
        <v>1693.690428201779</v>
      </c>
      <c r="H64">
        <v>0</v>
      </c>
      <c r="I64">
        <v>0.9</v>
      </c>
      <c r="J64" t="b">
        <v>1</v>
      </c>
      <c r="K64">
        <v>1E+21</v>
      </c>
      <c r="L64">
        <v>0.3</v>
      </c>
      <c r="M64" t="b">
        <v>1</v>
      </c>
      <c r="N64">
        <v>100000000000</v>
      </c>
      <c r="O64">
        <v>0.36447807156640522</v>
      </c>
      <c r="P64">
        <v>0.1894005414146214</v>
      </c>
      <c r="Q64">
        <v>0.13019258760001889</v>
      </c>
      <c r="R64" t="s">
        <v>150</v>
      </c>
      <c r="S64" t="s">
        <v>151</v>
      </c>
      <c r="T64">
        <v>1.289935148733321</v>
      </c>
      <c r="U64">
        <v>209.53456823993301</v>
      </c>
      <c r="V64">
        <v>199.71196382887479</v>
      </c>
      <c r="W64">
        <f>VALUE(","&amp;MID(R64,4,10))</f>
        <v>0.16763163859999999</v>
      </c>
      <c r="X64">
        <f>((O64-0.364)/0.0012)^2+((W64-0.174)/0.016)^2</f>
        <v>0.31713894030265694</v>
      </c>
      <c r="Y64">
        <f>((O64-O$8)/0.0012)^2+((W64-W$8)/0.016)^2</f>
        <v>2.9077087094589931E-2</v>
      </c>
      <c r="Z64" s="5">
        <f>Y64*100</f>
        <v>2.9077087094589933</v>
      </c>
    </row>
    <row r="65" spans="1:26" hidden="1" x14ac:dyDescent="0.2">
      <c r="A65" t="s">
        <v>180</v>
      </c>
      <c r="B65" t="s">
        <v>181</v>
      </c>
      <c r="C65">
        <v>2.7</v>
      </c>
      <c r="D65">
        <v>65</v>
      </c>
      <c r="E65">
        <v>6.8090445434656379</v>
      </c>
      <c r="F65">
        <v>6.1114012712470194</v>
      </c>
      <c r="G65">
        <v>1693.690428201779</v>
      </c>
      <c r="H65">
        <v>0</v>
      </c>
      <c r="I65">
        <v>0.9</v>
      </c>
      <c r="J65" t="b">
        <v>1</v>
      </c>
      <c r="K65">
        <v>1E+20</v>
      </c>
      <c r="L65">
        <v>0.3</v>
      </c>
      <c r="M65" t="b">
        <v>1</v>
      </c>
      <c r="N65">
        <v>100000000000</v>
      </c>
      <c r="O65">
        <v>0.36447807156640522</v>
      </c>
      <c r="P65">
        <v>0.1894005414146214</v>
      </c>
      <c r="Q65">
        <v>0.13019258760001889</v>
      </c>
      <c r="R65" t="s">
        <v>152</v>
      </c>
      <c r="S65" t="s">
        <v>153</v>
      </c>
      <c r="T65">
        <v>1.289935148733321</v>
      </c>
      <c r="U65">
        <v>213.49355662780289</v>
      </c>
      <c r="V65">
        <v>199.71196382887479</v>
      </c>
    </row>
    <row r="66" spans="1:26" hidden="1" x14ac:dyDescent="0.2">
      <c r="A66" t="s">
        <v>180</v>
      </c>
      <c r="B66" t="s">
        <v>181</v>
      </c>
      <c r="C66">
        <v>2.7</v>
      </c>
      <c r="D66">
        <v>65</v>
      </c>
      <c r="E66">
        <v>6.8090445434656379</v>
      </c>
      <c r="F66">
        <v>6.1114012712470194</v>
      </c>
      <c r="G66">
        <v>1693.690428201779</v>
      </c>
      <c r="H66">
        <v>0</v>
      </c>
      <c r="I66">
        <v>0.9</v>
      </c>
      <c r="J66" t="b">
        <v>1</v>
      </c>
      <c r="K66">
        <v>1E+19</v>
      </c>
      <c r="L66">
        <v>0.3</v>
      </c>
      <c r="M66" t="b">
        <v>1</v>
      </c>
      <c r="N66">
        <v>100000000000</v>
      </c>
      <c r="O66">
        <v>0.36447807156640522</v>
      </c>
      <c r="P66">
        <v>0.1894005414146214</v>
      </c>
      <c r="Q66">
        <v>0.13019258760001889</v>
      </c>
      <c r="R66" t="s">
        <v>154</v>
      </c>
      <c r="S66" t="s">
        <v>155</v>
      </c>
      <c r="T66">
        <v>1.289935148733321</v>
      </c>
      <c r="U66">
        <v>226.96715370118511</v>
      </c>
      <c r="V66">
        <v>199.71196382887479</v>
      </c>
    </row>
    <row r="67" spans="1:26" hidden="1" x14ac:dyDescent="0.2">
      <c r="A67" t="s">
        <v>180</v>
      </c>
      <c r="B67" t="s">
        <v>181</v>
      </c>
      <c r="C67">
        <v>2.7</v>
      </c>
      <c r="D67">
        <v>70</v>
      </c>
      <c r="E67">
        <v>6.9524657096419</v>
      </c>
      <c r="F67">
        <v>6.2539368448353514</v>
      </c>
      <c r="G67">
        <v>1665.977964201782</v>
      </c>
      <c r="H67">
        <v>0</v>
      </c>
      <c r="I67">
        <v>0.8</v>
      </c>
      <c r="J67" t="b">
        <v>1</v>
      </c>
      <c r="K67">
        <v>1E+19</v>
      </c>
      <c r="L67">
        <v>0.3</v>
      </c>
      <c r="M67" t="b">
        <v>1</v>
      </c>
      <c r="N67">
        <v>100000000000</v>
      </c>
      <c r="O67">
        <v>0.36383627692914439</v>
      </c>
      <c r="P67">
        <v>0.18763183125271771</v>
      </c>
      <c r="Q67">
        <v>0.12618817032774701</v>
      </c>
      <c r="R67" t="s">
        <v>156</v>
      </c>
      <c r="S67" t="s">
        <v>157</v>
      </c>
      <c r="T67">
        <v>1.289935148733321</v>
      </c>
      <c r="U67">
        <v>225.34169540352499</v>
      </c>
      <c r="V67">
        <v>199.70408936184759</v>
      </c>
    </row>
    <row r="68" spans="1:26" hidden="1" x14ac:dyDescent="0.2">
      <c r="A68" t="s">
        <v>180</v>
      </c>
      <c r="B68" t="s">
        <v>181</v>
      </c>
      <c r="C68">
        <v>2.7</v>
      </c>
      <c r="D68">
        <v>65</v>
      </c>
      <c r="E68">
        <v>6.9487157019718113</v>
      </c>
      <c r="F68">
        <v>6.2562621083073386</v>
      </c>
      <c r="G68">
        <v>1660.130220201783</v>
      </c>
      <c r="H68">
        <v>0</v>
      </c>
      <c r="I68">
        <v>0.8</v>
      </c>
      <c r="J68" t="b">
        <v>1</v>
      </c>
      <c r="K68">
        <v>1E+19</v>
      </c>
      <c r="L68">
        <v>0.3</v>
      </c>
      <c r="M68" t="b">
        <v>1</v>
      </c>
      <c r="N68">
        <v>100000000000</v>
      </c>
      <c r="O68">
        <v>0.36421708446831053</v>
      </c>
      <c r="P68">
        <v>0.18692230394506251</v>
      </c>
      <c r="Q68">
        <v>0.12564248264651631</v>
      </c>
      <c r="R68" t="s">
        <v>158</v>
      </c>
      <c r="S68" t="s">
        <v>159</v>
      </c>
      <c r="T68">
        <v>1.289935148733321</v>
      </c>
      <c r="U68">
        <v>225.25153373353089</v>
      </c>
      <c r="V68">
        <v>199.79945715256429</v>
      </c>
    </row>
    <row r="69" spans="1:26" hidden="1" x14ac:dyDescent="0.2">
      <c r="A69" t="s">
        <v>180</v>
      </c>
      <c r="B69" t="s">
        <v>181</v>
      </c>
      <c r="C69">
        <v>2.8</v>
      </c>
      <c r="D69">
        <v>72</v>
      </c>
      <c r="E69">
        <v>6.945919102495302</v>
      </c>
      <c r="F69">
        <v>6.2577538937976041</v>
      </c>
      <c r="G69">
        <v>1656.1811482017829</v>
      </c>
      <c r="H69">
        <v>0</v>
      </c>
      <c r="I69">
        <v>0.8</v>
      </c>
      <c r="J69" t="b">
        <v>1</v>
      </c>
      <c r="K69">
        <v>1E+19</v>
      </c>
      <c r="L69">
        <v>0.3</v>
      </c>
      <c r="M69" t="b">
        <v>1</v>
      </c>
      <c r="N69">
        <v>100000000000</v>
      </c>
      <c r="O69">
        <v>0.36449714123018789</v>
      </c>
      <c r="P69">
        <v>0.1864445987451652</v>
      </c>
      <c r="Q69">
        <v>0.12531659654404839</v>
      </c>
      <c r="R69" t="s">
        <v>160</v>
      </c>
      <c r="S69" t="s">
        <v>161</v>
      </c>
      <c r="T69">
        <v>1.289935148733321</v>
      </c>
      <c r="U69">
        <v>225.15004435252359</v>
      </c>
      <c r="V69">
        <v>199.8697685824836</v>
      </c>
    </row>
    <row r="70" spans="1:26" hidden="1" x14ac:dyDescent="0.2">
      <c r="A70" t="s">
        <v>180</v>
      </c>
      <c r="B70" t="s">
        <v>181</v>
      </c>
      <c r="C70">
        <v>2.7</v>
      </c>
      <c r="D70">
        <v>70</v>
      </c>
      <c r="E70">
        <v>7.1033337498932916</v>
      </c>
      <c r="F70">
        <v>6.4149428338164256</v>
      </c>
      <c r="G70">
        <v>1631.5004037967581</v>
      </c>
      <c r="H70">
        <v>0</v>
      </c>
      <c r="I70">
        <v>0.7</v>
      </c>
      <c r="J70" t="b">
        <v>1</v>
      </c>
      <c r="K70">
        <v>1E+18</v>
      </c>
      <c r="L70">
        <v>0.3</v>
      </c>
      <c r="M70" t="b">
        <v>1</v>
      </c>
      <c r="N70">
        <v>100000000000</v>
      </c>
      <c r="O70">
        <v>0.36357296586715598</v>
      </c>
      <c r="P70">
        <v>0.18481828210836959</v>
      </c>
      <c r="Q70">
        <v>0.1216919864476782</v>
      </c>
      <c r="R70" t="s">
        <v>162</v>
      </c>
      <c r="S70" t="s">
        <v>163</v>
      </c>
      <c r="T70">
        <v>1.289935148733321</v>
      </c>
      <c r="U70">
        <v>280.71960851374871</v>
      </c>
      <c r="V70">
        <v>199.77564439793051</v>
      </c>
    </row>
    <row r="71" spans="1:26" hidden="1" x14ac:dyDescent="0.2">
      <c r="A71" t="s">
        <v>180</v>
      </c>
      <c r="B71" t="s">
        <v>181</v>
      </c>
      <c r="C71">
        <v>2.7</v>
      </c>
      <c r="D71">
        <v>65</v>
      </c>
      <c r="E71">
        <v>7.0973957533704359</v>
      </c>
      <c r="F71">
        <v>6.416996040596942</v>
      </c>
      <c r="G71">
        <v>1625.917336131105</v>
      </c>
      <c r="H71">
        <v>0</v>
      </c>
      <c r="I71">
        <v>0.7</v>
      </c>
      <c r="J71" t="b">
        <v>1</v>
      </c>
      <c r="K71">
        <v>1E+18</v>
      </c>
      <c r="L71">
        <v>0.3</v>
      </c>
      <c r="M71" t="b">
        <v>1</v>
      </c>
      <c r="N71">
        <v>100000000000</v>
      </c>
      <c r="O71">
        <v>0.3639606988803924</v>
      </c>
      <c r="P71">
        <v>0.18412165812788331</v>
      </c>
      <c r="Q71">
        <v>0.1212230579603588</v>
      </c>
      <c r="R71" t="s">
        <v>164</v>
      </c>
      <c r="S71" t="s">
        <v>165</v>
      </c>
      <c r="T71">
        <v>1.289935148733321</v>
      </c>
      <c r="U71">
        <v>280.00540682128968</v>
      </c>
      <c r="V71">
        <v>199.86523092410789</v>
      </c>
    </row>
    <row r="72" spans="1:26" hidden="1" x14ac:dyDescent="0.2">
      <c r="A72" t="s">
        <v>180</v>
      </c>
      <c r="B72" t="s">
        <v>181</v>
      </c>
      <c r="C72">
        <v>2.7</v>
      </c>
      <c r="D72">
        <v>60</v>
      </c>
      <c r="E72">
        <v>7.0970508044332732</v>
      </c>
      <c r="F72">
        <v>6.4192422208269404</v>
      </c>
      <c r="G72">
        <v>1619.9532178567049</v>
      </c>
      <c r="H72">
        <v>0</v>
      </c>
      <c r="I72">
        <v>0.7</v>
      </c>
      <c r="J72" t="b">
        <v>1</v>
      </c>
      <c r="K72">
        <v>1E+18</v>
      </c>
      <c r="L72">
        <v>0.3</v>
      </c>
      <c r="M72" t="b">
        <v>1</v>
      </c>
      <c r="N72">
        <v>100000000000</v>
      </c>
      <c r="O72">
        <v>0.3643450376749634</v>
      </c>
      <c r="P72">
        <v>0.1834364976518772</v>
      </c>
      <c r="Q72">
        <v>0.1207285965334346</v>
      </c>
      <c r="R72" t="s">
        <v>166</v>
      </c>
      <c r="S72" t="s">
        <v>167</v>
      </c>
      <c r="T72">
        <v>1.289935148733321</v>
      </c>
      <c r="U72">
        <v>279.14518310083099</v>
      </c>
      <c r="V72">
        <v>199.95922709200181</v>
      </c>
    </row>
    <row r="73" spans="1:26" hidden="1" x14ac:dyDescent="0.2">
      <c r="A73" t="s">
        <v>180</v>
      </c>
      <c r="B73" t="s">
        <v>181</v>
      </c>
      <c r="C73">
        <v>2.8</v>
      </c>
      <c r="D73">
        <v>70</v>
      </c>
      <c r="E73">
        <v>7.0968947555460584</v>
      </c>
      <c r="F73">
        <v>6.4192186123576622</v>
      </c>
      <c r="G73">
        <v>1619.8614899867271</v>
      </c>
      <c r="H73">
        <v>0</v>
      </c>
      <c r="I73">
        <v>0.7</v>
      </c>
      <c r="J73" t="b">
        <v>1</v>
      </c>
      <c r="K73">
        <v>1E+18</v>
      </c>
      <c r="L73">
        <v>0.3</v>
      </c>
      <c r="M73" t="b">
        <v>1</v>
      </c>
      <c r="N73">
        <v>100000000000</v>
      </c>
      <c r="O73">
        <v>0.36437212353233622</v>
      </c>
      <c r="P73">
        <v>0.1834276131023076</v>
      </c>
      <c r="Q73">
        <v>0.1207556469372346</v>
      </c>
      <c r="R73" t="s">
        <v>168</v>
      </c>
      <c r="S73" t="s">
        <v>169</v>
      </c>
      <c r="T73">
        <v>1.289935148733321</v>
      </c>
      <c r="U73">
        <v>273.9466526122161</v>
      </c>
      <c r="V73">
        <v>199.9666637421781</v>
      </c>
    </row>
    <row r="74" spans="1:26" hidden="1" x14ac:dyDescent="0.2">
      <c r="A74" t="s">
        <v>180</v>
      </c>
      <c r="B74" t="s">
        <v>181</v>
      </c>
      <c r="C74">
        <v>2.7</v>
      </c>
      <c r="D74">
        <v>65</v>
      </c>
      <c r="E74">
        <v>7.2689672508877949</v>
      </c>
      <c r="F74">
        <v>6.5972278270172797</v>
      </c>
      <c r="G74">
        <v>1590.193408056917</v>
      </c>
      <c r="H74">
        <v>0</v>
      </c>
      <c r="I74">
        <v>0.6</v>
      </c>
      <c r="J74" t="b">
        <v>1</v>
      </c>
      <c r="K74">
        <v>1E+18</v>
      </c>
      <c r="L74">
        <v>0.3</v>
      </c>
      <c r="M74" t="b">
        <v>1</v>
      </c>
      <c r="N74">
        <v>100000000000</v>
      </c>
      <c r="O74">
        <v>0.36369618307884283</v>
      </c>
      <c r="P74">
        <v>0.18090827079401231</v>
      </c>
      <c r="Q74">
        <v>0.11684044731202101</v>
      </c>
      <c r="R74" t="s">
        <v>170</v>
      </c>
      <c r="S74" t="s">
        <v>171</v>
      </c>
      <c r="T74">
        <v>1.289935148733321</v>
      </c>
      <c r="U74">
        <v>267.67613206096348</v>
      </c>
      <c r="V74">
        <v>199.91652725057969</v>
      </c>
    </row>
    <row r="75" spans="1:26" hidden="1" x14ac:dyDescent="0.2">
      <c r="A75" t="s">
        <v>180</v>
      </c>
      <c r="B75" t="s">
        <v>181</v>
      </c>
      <c r="C75">
        <v>2.7</v>
      </c>
      <c r="D75">
        <v>60</v>
      </c>
      <c r="E75">
        <v>7.2683327748284006</v>
      </c>
      <c r="F75">
        <v>6.5992698610264151</v>
      </c>
      <c r="G75">
        <v>1584.375000879354</v>
      </c>
      <c r="H75">
        <v>0</v>
      </c>
      <c r="I75">
        <v>0.6</v>
      </c>
      <c r="J75" t="b">
        <v>1</v>
      </c>
      <c r="K75">
        <v>1E+18</v>
      </c>
      <c r="L75">
        <v>0.3</v>
      </c>
      <c r="M75" t="b">
        <v>1</v>
      </c>
      <c r="N75">
        <v>100000000000</v>
      </c>
      <c r="O75">
        <v>0.36408559345428698</v>
      </c>
      <c r="P75">
        <v>0.1802426008968106</v>
      </c>
      <c r="Q75">
        <v>0.1164322585490338</v>
      </c>
      <c r="R75" t="s">
        <v>172</v>
      </c>
      <c r="S75" t="s">
        <v>173</v>
      </c>
      <c r="T75">
        <v>1.289935148733321</v>
      </c>
      <c r="U75">
        <v>276.82400357563802</v>
      </c>
      <c r="V75">
        <v>200.01026203722839</v>
      </c>
    </row>
    <row r="76" spans="1:26" hidden="1" x14ac:dyDescent="0.2">
      <c r="A76" t="s">
        <v>180</v>
      </c>
      <c r="B76" t="s">
        <v>181</v>
      </c>
      <c r="C76">
        <v>2.7</v>
      </c>
      <c r="D76">
        <v>55</v>
      </c>
      <c r="E76">
        <v>7.2617596629721897</v>
      </c>
      <c r="F76">
        <v>6.6011046140924829</v>
      </c>
      <c r="G76">
        <v>1578.85405773457</v>
      </c>
      <c r="H76">
        <v>0</v>
      </c>
      <c r="I76">
        <v>0.6</v>
      </c>
      <c r="J76" t="b">
        <v>1</v>
      </c>
      <c r="K76">
        <v>1E+18</v>
      </c>
      <c r="L76">
        <v>0.3</v>
      </c>
      <c r="M76" t="b">
        <v>1</v>
      </c>
      <c r="N76">
        <v>100000000000</v>
      </c>
      <c r="O76">
        <v>0.36448384255262578</v>
      </c>
      <c r="P76">
        <v>0.1795524907971203</v>
      </c>
      <c r="Q76">
        <v>0.11597694943903079</v>
      </c>
      <c r="R76" t="s">
        <v>174</v>
      </c>
      <c r="S76" t="s">
        <v>175</v>
      </c>
      <c r="T76">
        <v>1.289935148733321</v>
      </c>
      <c r="U76">
        <v>274.39129746892831</v>
      </c>
      <c r="V76">
        <v>200.0855890888879</v>
      </c>
    </row>
    <row r="77" spans="1:26" hidden="1" x14ac:dyDescent="0.2">
      <c r="A77" t="s">
        <v>180</v>
      </c>
      <c r="B77" t="s">
        <v>181</v>
      </c>
      <c r="C77">
        <v>2.8</v>
      </c>
      <c r="D77">
        <v>70</v>
      </c>
      <c r="E77">
        <v>7.2681701379791006</v>
      </c>
      <c r="F77">
        <v>6.599244064923715</v>
      </c>
      <c r="G77">
        <v>1584.2854317292411</v>
      </c>
      <c r="H77">
        <v>0</v>
      </c>
      <c r="I77">
        <v>0.6</v>
      </c>
      <c r="J77" t="b">
        <v>1</v>
      </c>
      <c r="K77">
        <v>1E+18</v>
      </c>
      <c r="L77">
        <v>0.3</v>
      </c>
      <c r="M77" t="b">
        <v>1</v>
      </c>
      <c r="N77">
        <v>100000000000</v>
      </c>
      <c r="O77">
        <v>0.3641127572047122</v>
      </c>
      <c r="P77">
        <v>0.18023391474893369</v>
      </c>
      <c r="Q77">
        <v>0.1164199099699392</v>
      </c>
      <c r="R77" t="s">
        <v>176</v>
      </c>
      <c r="S77" t="s">
        <v>177</v>
      </c>
      <c r="T77">
        <v>1.289935148733321</v>
      </c>
      <c r="U77">
        <v>278.03028852711037</v>
      </c>
      <c r="V77">
        <v>200.01072677543891</v>
      </c>
    </row>
    <row r="78" spans="1:26" hidden="1" x14ac:dyDescent="0.2">
      <c r="A78" t="s">
        <v>180</v>
      </c>
      <c r="B78" t="s">
        <v>181</v>
      </c>
      <c r="C78">
        <v>2.8</v>
      </c>
      <c r="D78">
        <v>65</v>
      </c>
      <c r="E78">
        <v>7.2625494390624752</v>
      </c>
      <c r="F78">
        <v>6.6008248089920452</v>
      </c>
      <c r="G78">
        <v>1579.5544239039159</v>
      </c>
      <c r="H78">
        <v>0</v>
      </c>
      <c r="I78">
        <v>0.6</v>
      </c>
      <c r="J78" t="b">
        <v>1</v>
      </c>
      <c r="K78">
        <v>1E+18</v>
      </c>
      <c r="L78">
        <v>0.3</v>
      </c>
      <c r="M78" t="b">
        <v>1</v>
      </c>
      <c r="N78">
        <v>100000000000</v>
      </c>
      <c r="O78">
        <v>0.36445119099390072</v>
      </c>
      <c r="P78">
        <v>0.17964220140413631</v>
      </c>
      <c r="Q78">
        <v>0.1160799256203504</v>
      </c>
      <c r="R78" t="s">
        <v>178</v>
      </c>
      <c r="S78" t="s">
        <v>179</v>
      </c>
      <c r="T78">
        <v>1.289935148733321</v>
      </c>
      <c r="U78">
        <v>275.24953499500663</v>
      </c>
      <c r="V78">
        <v>200.08392063417179</v>
      </c>
    </row>
    <row r="79" spans="1:26" x14ac:dyDescent="0.2">
      <c r="A79" t="s">
        <v>180</v>
      </c>
      <c r="B79" t="s">
        <v>30</v>
      </c>
      <c r="C79">
        <v>2.7</v>
      </c>
      <c r="D79">
        <v>60</v>
      </c>
      <c r="E79">
        <v>6.6544042917432673</v>
      </c>
      <c r="F79">
        <v>5.9343585701686683</v>
      </c>
      <c r="G79">
        <v>1750.5562042017741</v>
      </c>
      <c r="H79">
        <v>0</v>
      </c>
      <c r="I79">
        <v>1</v>
      </c>
      <c r="J79" t="b">
        <v>1</v>
      </c>
      <c r="K79">
        <v>1E+21</v>
      </c>
      <c r="L79">
        <v>0.3</v>
      </c>
      <c r="M79" t="b">
        <v>1</v>
      </c>
      <c r="N79">
        <v>100000000000</v>
      </c>
      <c r="O79">
        <v>0.36438635936250902</v>
      </c>
      <c r="P79">
        <v>0.19381684908778651</v>
      </c>
      <c r="Q79">
        <v>0.13992829503297369</v>
      </c>
      <c r="R79" t="s">
        <v>182</v>
      </c>
      <c r="S79" t="s">
        <v>183</v>
      </c>
      <c r="T79">
        <v>1.289935148733321</v>
      </c>
      <c r="U79">
        <v>210.8841903176783</v>
      </c>
      <c r="V79">
        <v>199.66848927569271</v>
      </c>
      <c r="W79">
        <f t="shared" ref="W79:W81" si="0">VALUE(","&amp;MID(R79,4,10))</f>
        <v>0.1819300133</v>
      </c>
      <c r="X79">
        <f t="shared" ref="X79:X81" si="1">((O79-0.364)/0.0012)^2+((W79-0.174)/0.016)^2</f>
        <v>0.34930715696224068</v>
      </c>
      <c r="Y79">
        <f t="shared" ref="Y79:Y81" si="2">((O79-O$8)/0.0012)^2+((W79-W$8)/0.016)^2</f>
        <v>0.76174357047216334</v>
      </c>
      <c r="Z79" s="5">
        <f t="shared" ref="Z79:Z81" si="3">Y79*100</f>
        <v>76.174357047216333</v>
      </c>
    </row>
    <row r="80" spans="1:26" x14ac:dyDescent="0.2">
      <c r="A80" t="s">
        <v>180</v>
      </c>
      <c r="B80" t="s">
        <v>30</v>
      </c>
      <c r="C80">
        <v>2.8</v>
      </c>
      <c r="D80">
        <v>70</v>
      </c>
      <c r="E80">
        <v>6.6544640776878978</v>
      </c>
      <c r="F80">
        <v>5.9345295901921391</v>
      </c>
      <c r="G80">
        <v>1750.047980201773</v>
      </c>
      <c r="H80">
        <v>0</v>
      </c>
      <c r="I80">
        <v>1</v>
      </c>
      <c r="J80" t="b">
        <v>1</v>
      </c>
      <c r="K80">
        <v>1E+21</v>
      </c>
      <c r="L80">
        <v>0.3</v>
      </c>
      <c r="M80" t="b">
        <v>1</v>
      </c>
      <c r="N80">
        <v>100000000000</v>
      </c>
      <c r="O80">
        <v>0.36443617119692839</v>
      </c>
      <c r="P80">
        <v>0.19376121701241289</v>
      </c>
      <c r="Q80">
        <v>0.1399072940953614</v>
      </c>
      <c r="R80" t="s">
        <v>184</v>
      </c>
      <c r="S80" t="s">
        <v>185</v>
      </c>
      <c r="T80">
        <v>1.289935148733321</v>
      </c>
      <c r="U80">
        <v>210.88656633436619</v>
      </c>
      <c r="V80">
        <v>199.68429531219289</v>
      </c>
      <c r="W80">
        <f t="shared" si="0"/>
        <v>0.18189385729999999</v>
      </c>
      <c r="X80">
        <f t="shared" si="1"/>
        <v>0.37552489084322882</v>
      </c>
      <c r="Y80">
        <f t="shared" si="2"/>
        <v>0.76719856067915937</v>
      </c>
      <c r="Z80" s="5">
        <f t="shared" si="3"/>
        <v>76.719856067915941</v>
      </c>
    </row>
    <row r="81" spans="1:26" x14ac:dyDescent="0.2">
      <c r="A81" t="s">
        <v>180</v>
      </c>
      <c r="B81" t="s">
        <v>30</v>
      </c>
      <c r="C81">
        <v>2.7</v>
      </c>
      <c r="D81">
        <v>65</v>
      </c>
      <c r="E81">
        <v>6.780734595983291</v>
      </c>
      <c r="F81">
        <v>6.0626754463113821</v>
      </c>
      <c r="G81">
        <v>1723.1827322017759</v>
      </c>
      <c r="H81">
        <v>0</v>
      </c>
      <c r="I81">
        <v>0.9</v>
      </c>
      <c r="J81" t="b">
        <v>1</v>
      </c>
      <c r="K81">
        <v>1E+21</v>
      </c>
      <c r="L81">
        <v>0.3</v>
      </c>
      <c r="M81" t="b">
        <v>1</v>
      </c>
      <c r="N81">
        <v>100000000000</v>
      </c>
      <c r="O81">
        <v>0.36375109942754141</v>
      </c>
      <c r="P81">
        <v>0.19219404890061079</v>
      </c>
      <c r="Q81">
        <v>0.13559044317473079</v>
      </c>
      <c r="R81" t="s">
        <v>186</v>
      </c>
      <c r="S81" t="s">
        <v>187</v>
      </c>
      <c r="T81">
        <v>1.289935148733321</v>
      </c>
      <c r="U81">
        <v>210.27452056140521</v>
      </c>
      <c r="V81">
        <v>199.67853532063819</v>
      </c>
      <c r="W81">
        <f t="shared" si="0"/>
        <v>0.17550393210000001</v>
      </c>
      <c r="X81">
        <f t="shared" si="1"/>
        <v>5.1857073700098066E-2</v>
      </c>
      <c r="Y81">
        <f t="shared" si="2"/>
        <v>0.40859276998159466</v>
      </c>
      <c r="Z81" s="5">
        <f t="shared" si="3"/>
        <v>40.859276998159466</v>
      </c>
    </row>
    <row r="82" spans="1:26" hidden="1" x14ac:dyDescent="0.2">
      <c r="A82" t="s">
        <v>180</v>
      </c>
      <c r="B82" t="s">
        <v>30</v>
      </c>
      <c r="C82">
        <v>2.7</v>
      </c>
      <c r="D82">
        <v>65</v>
      </c>
      <c r="E82">
        <v>6.780734595983291</v>
      </c>
      <c r="F82">
        <v>6.0626754463113821</v>
      </c>
      <c r="G82">
        <v>1723.1827322017759</v>
      </c>
      <c r="H82">
        <v>0</v>
      </c>
      <c r="I82">
        <v>0.9</v>
      </c>
      <c r="J82" t="b">
        <v>1</v>
      </c>
      <c r="K82">
        <v>1E+20</v>
      </c>
      <c r="L82">
        <v>0.3</v>
      </c>
      <c r="M82" t="b">
        <v>1</v>
      </c>
      <c r="N82">
        <v>100000000000</v>
      </c>
      <c r="O82">
        <v>0.36375109942754141</v>
      </c>
      <c r="P82">
        <v>0.19219404890061079</v>
      </c>
      <c r="Q82">
        <v>0.13559044317473079</v>
      </c>
      <c r="R82" t="s">
        <v>188</v>
      </c>
      <c r="S82" t="s">
        <v>189</v>
      </c>
      <c r="T82">
        <v>1.289935148733321</v>
      </c>
      <c r="U82">
        <v>214.58898141718649</v>
      </c>
      <c r="V82">
        <v>199.67853532063819</v>
      </c>
    </row>
    <row r="83" spans="1:26" x14ac:dyDescent="0.2">
      <c r="A83" t="s">
        <v>180</v>
      </c>
      <c r="B83" t="s">
        <v>30</v>
      </c>
      <c r="C83">
        <v>2.7</v>
      </c>
      <c r="D83">
        <v>60</v>
      </c>
      <c r="E83">
        <v>6.7794324987935726</v>
      </c>
      <c r="F83">
        <v>6.0651735832103064</v>
      </c>
      <c r="G83">
        <v>1717.3349882017769</v>
      </c>
      <c r="H83">
        <v>0</v>
      </c>
      <c r="I83">
        <v>0.9</v>
      </c>
      <c r="J83" t="b">
        <v>1</v>
      </c>
      <c r="K83">
        <v>1E+21</v>
      </c>
      <c r="L83">
        <v>0.3</v>
      </c>
      <c r="M83" t="b">
        <v>1</v>
      </c>
      <c r="N83">
        <v>100000000000</v>
      </c>
      <c r="O83">
        <v>0.3641120340147177</v>
      </c>
      <c r="P83">
        <v>0.19150067845872881</v>
      </c>
      <c r="Q83">
        <v>0.1349820505575603</v>
      </c>
      <c r="R83" t="s">
        <v>190</v>
      </c>
      <c r="S83" t="s">
        <v>191</v>
      </c>
      <c r="T83">
        <v>1.289935148733321</v>
      </c>
      <c r="U83">
        <v>210.29046381435401</v>
      </c>
      <c r="V83">
        <v>199.7847172965524</v>
      </c>
      <c r="W83">
        <f>VALUE(","&amp;MID(R83,4,10))</f>
        <v>0.174529673</v>
      </c>
      <c r="X83">
        <f>((O83-0.364)/0.0012)^2+((W83-0.174)/0.016)^2</f>
        <v>9.8123151512109503E-3</v>
      </c>
      <c r="Y83">
        <f>((O83-O$8)/0.0012)^2+((W83-W$8)/0.016)^2</f>
        <v>0.18295664223844221</v>
      </c>
      <c r="Z83" s="5">
        <f>Y83*100</f>
        <v>18.29566422384422</v>
      </c>
    </row>
    <row r="84" spans="1:26" hidden="1" x14ac:dyDescent="0.2">
      <c r="A84" t="s">
        <v>180</v>
      </c>
      <c r="B84" t="s">
        <v>30</v>
      </c>
      <c r="C84">
        <v>2.7</v>
      </c>
      <c r="D84">
        <v>60</v>
      </c>
      <c r="E84">
        <v>6.7794324987935726</v>
      </c>
      <c r="F84">
        <v>6.0651735832103064</v>
      </c>
      <c r="G84">
        <v>1717.3349882017769</v>
      </c>
      <c r="H84">
        <v>0</v>
      </c>
      <c r="I84">
        <v>0.9</v>
      </c>
      <c r="J84" t="b">
        <v>1</v>
      </c>
      <c r="K84">
        <v>1E+20</v>
      </c>
      <c r="L84">
        <v>0.3</v>
      </c>
      <c r="M84" t="b">
        <v>1</v>
      </c>
      <c r="N84">
        <v>100000000000</v>
      </c>
      <c r="O84">
        <v>0.3641120340147177</v>
      </c>
      <c r="P84">
        <v>0.19150067845872881</v>
      </c>
      <c r="Q84">
        <v>0.1349820505575603</v>
      </c>
      <c r="R84" t="s">
        <v>192</v>
      </c>
      <c r="S84" t="s">
        <v>193</v>
      </c>
      <c r="T84">
        <v>1.289935148733321</v>
      </c>
      <c r="U84">
        <v>214.57630694557091</v>
      </c>
      <c r="V84">
        <v>199.7847172965524</v>
      </c>
    </row>
    <row r="85" spans="1:26" x14ac:dyDescent="0.2">
      <c r="A85" t="s">
        <v>180</v>
      </c>
      <c r="B85" t="s">
        <v>30</v>
      </c>
      <c r="C85">
        <v>2.7</v>
      </c>
      <c r="D85">
        <v>55</v>
      </c>
      <c r="E85">
        <v>6.7720311467113872</v>
      </c>
      <c r="F85">
        <v>6.067430569751739</v>
      </c>
      <c r="G85">
        <v>1711.826236201779</v>
      </c>
      <c r="H85">
        <v>0</v>
      </c>
      <c r="I85">
        <v>0.9</v>
      </c>
      <c r="J85" t="b">
        <v>1</v>
      </c>
      <c r="K85">
        <v>1E+21</v>
      </c>
      <c r="L85">
        <v>0.3</v>
      </c>
      <c r="M85" t="b">
        <v>1</v>
      </c>
      <c r="N85">
        <v>100000000000</v>
      </c>
      <c r="O85">
        <v>0.36448313481290251</v>
      </c>
      <c r="P85">
        <v>0.19079211032867499</v>
      </c>
      <c r="Q85">
        <v>0.1344299271837619</v>
      </c>
      <c r="R85" t="s">
        <v>194</v>
      </c>
      <c r="S85" t="s">
        <v>195</v>
      </c>
      <c r="T85">
        <v>1.289935148733321</v>
      </c>
      <c r="U85">
        <v>210.3093830548448</v>
      </c>
      <c r="V85">
        <v>199.8860144668794</v>
      </c>
      <c r="W85">
        <f>VALUE(","&amp;MID(R85,4,10))</f>
        <v>0.17363950319999999</v>
      </c>
      <c r="X85">
        <f>((O85-0.364)/0.0012)^2+((W85-0.174)/0.016)^2</f>
        <v>0.16260434782406935</v>
      </c>
      <c r="Y85">
        <f>((O85-O$8)/0.0012)^2+((W85-W$8)/0.016)^2</f>
        <v>0.15217623239637068</v>
      </c>
      <c r="Z85" s="5">
        <f>Y85*100</f>
        <v>15.217623239637067</v>
      </c>
    </row>
    <row r="86" spans="1:26" hidden="1" x14ac:dyDescent="0.2">
      <c r="A86" t="s">
        <v>180</v>
      </c>
      <c r="B86" t="s">
        <v>30</v>
      </c>
      <c r="C86">
        <v>2.7</v>
      </c>
      <c r="D86">
        <v>55</v>
      </c>
      <c r="E86">
        <v>6.7720311467113872</v>
      </c>
      <c r="F86">
        <v>6.067430569751739</v>
      </c>
      <c r="G86">
        <v>1711.826236201779</v>
      </c>
      <c r="H86">
        <v>0</v>
      </c>
      <c r="I86">
        <v>0.9</v>
      </c>
      <c r="J86" t="b">
        <v>1</v>
      </c>
      <c r="K86">
        <v>1E+20</v>
      </c>
      <c r="L86">
        <v>0.3</v>
      </c>
      <c r="M86" t="b">
        <v>1</v>
      </c>
      <c r="N86">
        <v>100000000000</v>
      </c>
      <c r="O86">
        <v>0.36448313481290251</v>
      </c>
      <c r="P86">
        <v>0.19079211032867499</v>
      </c>
      <c r="Q86">
        <v>0.1344299271837619</v>
      </c>
      <c r="R86" t="s">
        <v>196</v>
      </c>
      <c r="S86" t="s">
        <v>197</v>
      </c>
      <c r="T86">
        <v>1.289935148733321</v>
      </c>
      <c r="U86">
        <v>214.56981853326249</v>
      </c>
      <c r="V86">
        <v>199.8860144668794</v>
      </c>
    </row>
    <row r="87" spans="1:26" x14ac:dyDescent="0.2">
      <c r="A87" t="s">
        <v>180</v>
      </c>
      <c r="B87" t="s">
        <v>30</v>
      </c>
      <c r="C87">
        <v>2.8</v>
      </c>
      <c r="D87">
        <v>70</v>
      </c>
      <c r="E87">
        <v>6.7796745857141731</v>
      </c>
      <c r="F87">
        <v>6.0653363537158196</v>
      </c>
      <c r="G87">
        <v>1716.8267642017761</v>
      </c>
      <c r="H87">
        <v>0</v>
      </c>
      <c r="I87">
        <v>0.9</v>
      </c>
      <c r="J87" t="b">
        <v>1</v>
      </c>
      <c r="K87">
        <v>1E+21</v>
      </c>
      <c r="L87">
        <v>0.3</v>
      </c>
      <c r="M87" t="b">
        <v>1</v>
      </c>
      <c r="N87">
        <v>100000000000</v>
      </c>
      <c r="O87">
        <v>0.36416201516263119</v>
      </c>
      <c r="P87">
        <v>0.19144698792903281</v>
      </c>
      <c r="Q87">
        <v>0.13496214081192859</v>
      </c>
      <c r="R87" t="s">
        <v>198</v>
      </c>
      <c r="S87" t="s">
        <v>199</v>
      </c>
      <c r="T87">
        <v>1.289935148733321</v>
      </c>
      <c r="U87">
        <v>210.29303959833911</v>
      </c>
      <c r="V87">
        <v>199.79960416004451</v>
      </c>
      <c r="W87">
        <f>VALUE(","&amp;MID(R87,4,10))</f>
        <v>0.17449517219999999</v>
      </c>
      <c r="X87">
        <f>((O87-0.364)/0.0012)^2+((W87-0.174)/0.016)^2</f>
        <v>1.9186206703445813E-2</v>
      </c>
      <c r="Y87">
        <f>((O87-O$8)/0.0012)^2+((W87-W$8)/0.016)^2</f>
        <v>0.17157995916728452</v>
      </c>
      <c r="Z87" s="5">
        <f>Y87*100</f>
        <v>17.157995916728453</v>
      </c>
    </row>
    <row r="88" spans="1:26" hidden="1" x14ac:dyDescent="0.2">
      <c r="A88" t="s">
        <v>180</v>
      </c>
      <c r="B88" t="s">
        <v>30</v>
      </c>
      <c r="C88">
        <v>2.8</v>
      </c>
      <c r="D88">
        <v>70</v>
      </c>
      <c r="E88">
        <v>6.7796745857141731</v>
      </c>
      <c r="F88">
        <v>6.0653363537158196</v>
      </c>
      <c r="G88">
        <v>1716.8267642017761</v>
      </c>
      <c r="H88">
        <v>0</v>
      </c>
      <c r="I88">
        <v>0.9</v>
      </c>
      <c r="J88" t="b">
        <v>1</v>
      </c>
      <c r="K88">
        <v>1E+20</v>
      </c>
      <c r="L88">
        <v>0.3</v>
      </c>
      <c r="M88" t="b">
        <v>1</v>
      </c>
      <c r="N88">
        <v>100000000000</v>
      </c>
      <c r="O88">
        <v>0.36416201516263119</v>
      </c>
      <c r="P88">
        <v>0.19144698792903281</v>
      </c>
      <c r="Q88">
        <v>0.13496214081192859</v>
      </c>
      <c r="R88" t="s">
        <v>200</v>
      </c>
      <c r="S88" t="s">
        <v>201</v>
      </c>
      <c r="T88">
        <v>1.289935148733321</v>
      </c>
      <c r="U88">
        <v>214.56495142716781</v>
      </c>
      <c r="V88">
        <v>199.79960416004451</v>
      </c>
    </row>
    <row r="89" spans="1:26" x14ac:dyDescent="0.2">
      <c r="A89" t="s">
        <v>180</v>
      </c>
      <c r="B89" t="s">
        <v>30</v>
      </c>
      <c r="C89">
        <v>2.8</v>
      </c>
      <c r="D89">
        <v>65</v>
      </c>
      <c r="E89">
        <v>6.7754838038858551</v>
      </c>
      <c r="F89">
        <v>6.0673499938509208</v>
      </c>
      <c r="G89">
        <v>1711.995996201777</v>
      </c>
      <c r="H89">
        <v>0</v>
      </c>
      <c r="I89">
        <v>0.9</v>
      </c>
      <c r="J89" t="b">
        <v>1</v>
      </c>
      <c r="K89">
        <v>1E+21</v>
      </c>
      <c r="L89">
        <v>0.3</v>
      </c>
      <c r="M89" t="b">
        <v>1</v>
      </c>
      <c r="N89">
        <v>100000000000</v>
      </c>
      <c r="O89">
        <v>0.36447315966469951</v>
      </c>
      <c r="P89">
        <v>0.1908463770380576</v>
      </c>
      <c r="Q89">
        <v>0.13446921833337269</v>
      </c>
      <c r="R89" t="s">
        <v>202</v>
      </c>
      <c r="S89" t="s">
        <v>203</v>
      </c>
      <c r="T89">
        <v>1.289935148733321</v>
      </c>
      <c r="U89">
        <v>210.30760191963299</v>
      </c>
      <c r="V89">
        <v>199.88672937724041</v>
      </c>
      <c r="W89">
        <f>VALUE(","&amp;MID(R89,4,10))</f>
        <v>0.17370320980000001</v>
      </c>
      <c r="X89">
        <f>((O89-0.364)/0.0012)^2+((W89-0.174)/0.016)^2</f>
        <v>0.15581634942840342</v>
      </c>
      <c r="Y89">
        <f>((O89-O$8)/0.0012)^2+((W89-W$8)/0.016)^2</f>
        <v>0.15217373514804733</v>
      </c>
      <c r="Z89" s="5">
        <f>Y89*100</f>
        <v>15.217373514804732</v>
      </c>
    </row>
    <row r="90" spans="1:26" hidden="1" x14ac:dyDescent="0.2">
      <c r="A90" t="s">
        <v>180</v>
      </c>
      <c r="B90" t="s">
        <v>30</v>
      </c>
      <c r="C90">
        <v>2.8</v>
      </c>
      <c r="D90">
        <v>65</v>
      </c>
      <c r="E90">
        <v>6.7754838038858551</v>
      </c>
      <c r="F90">
        <v>6.0673499938509208</v>
      </c>
      <c r="G90">
        <v>1711.995996201777</v>
      </c>
      <c r="H90">
        <v>0</v>
      </c>
      <c r="I90">
        <v>0.9</v>
      </c>
      <c r="J90" t="b">
        <v>1</v>
      </c>
      <c r="K90">
        <v>1E+20</v>
      </c>
      <c r="L90">
        <v>0.3</v>
      </c>
      <c r="M90" t="b">
        <v>1</v>
      </c>
      <c r="N90">
        <v>100000000000</v>
      </c>
      <c r="O90">
        <v>0.36447315966469951</v>
      </c>
      <c r="P90">
        <v>0.1908463770380576</v>
      </c>
      <c r="Q90">
        <v>0.13446921833337269</v>
      </c>
      <c r="R90" t="s">
        <v>204</v>
      </c>
      <c r="S90" t="s">
        <v>205</v>
      </c>
      <c r="T90">
        <v>1.289935148733321</v>
      </c>
      <c r="U90">
        <v>214.5577137277582</v>
      </c>
      <c r="V90">
        <v>199.88672937724041</v>
      </c>
    </row>
    <row r="91" spans="1:26" x14ac:dyDescent="0.2">
      <c r="A91" t="s">
        <v>180</v>
      </c>
      <c r="B91" t="s">
        <v>30</v>
      </c>
      <c r="C91">
        <v>2.7</v>
      </c>
      <c r="D91">
        <v>65</v>
      </c>
      <c r="E91">
        <v>6.914487466176606</v>
      </c>
      <c r="F91">
        <v>6.2068874041233224</v>
      </c>
      <c r="G91">
        <v>1689.28353220178</v>
      </c>
      <c r="H91">
        <v>0</v>
      </c>
      <c r="I91">
        <v>0.8</v>
      </c>
      <c r="J91" t="b">
        <v>1</v>
      </c>
      <c r="K91">
        <v>1E+21</v>
      </c>
      <c r="L91">
        <v>0.3</v>
      </c>
      <c r="M91" t="b">
        <v>1</v>
      </c>
      <c r="N91">
        <v>100000000000</v>
      </c>
      <c r="O91">
        <v>0.36347507765249221</v>
      </c>
      <c r="P91">
        <v>0.18964155133440641</v>
      </c>
      <c r="Q91">
        <v>0.13079124927584471</v>
      </c>
      <c r="R91" t="s">
        <v>206</v>
      </c>
      <c r="S91" t="s">
        <v>207</v>
      </c>
      <c r="T91">
        <v>1.289935148733321</v>
      </c>
      <c r="U91">
        <v>209.70985275593131</v>
      </c>
      <c r="V91">
        <v>199.78680610879201</v>
      </c>
      <c r="W91">
        <f>VALUE(","&amp;MID(R91,4,10))</f>
        <v>0.16836306039999999</v>
      </c>
      <c r="X91">
        <f>((O91-0.364)/0.0012)^2+((W91-0.174)/0.016)^2</f>
        <v>0.3154710702896551</v>
      </c>
      <c r="Y91">
        <f>((O91-O$8)/0.0012)^2+((W91-W$8)/0.016)^2</f>
        <v>0.44563874149818544</v>
      </c>
      <c r="Z91" s="5">
        <f>Y91*100</f>
        <v>44.563874149818545</v>
      </c>
    </row>
    <row r="92" spans="1:26" hidden="1" x14ac:dyDescent="0.2">
      <c r="A92" t="s">
        <v>180</v>
      </c>
      <c r="B92" t="s">
        <v>30</v>
      </c>
      <c r="C92">
        <v>2.7</v>
      </c>
      <c r="D92">
        <v>65</v>
      </c>
      <c r="E92">
        <v>6.914487466176606</v>
      </c>
      <c r="F92">
        <v>6.2068874041233224</v>
      </c>
      <c r="G92">
        <v>1689.28353220178</v>
      </c>
      <c r="H92">
        <v>0</v>
      </c>
      <c r="I92">
        <v>0.8</v>
      </c>
      <c r="J92" t="b">
        <v>1</v>
      </c>
      <c r="K92">
        <v>1E+20</v>
      </c>
      <c r="L92">
        <v>0.3</v>
      </c>
      <c r="M92" t="b">
        <v>1</v>
      </c>
      <c r="N92">
        <v>100000000000</v>
      </c>
      <c r="O92">
        <v>0.36347507765249221</v>
      </c>
      <c r="P92">
        <v>0.18964155133440641</v>
      </c>
      <c r="Q92">
        <v>0.13079124927584471</v>
      </c>
      <c r="R92" t="s">
        <v>208</v>
      </c>
      <c r="S92" t="s">
        <v>209</v>
      </c>
      <c r="T92">
        <v>1.289935148733321</v>
      </c>
      <c r="U92">
        <v>213.75199792183059</v>
      </c>
      <c r="V92">
        <v>199.78680610879201</v>
      </c>
    </row>
    <row r="93" spans="1:26" hidden="1" x14ac:dyDescent="0.2">
      <c r="A93" t="s">
        <v>180</v>
      </c>
      <c r="B93" t="s">
        <v>30</v>
      </c>
      <c r="C93">
        <v>2.7</v>
      </c>
      <c r="D93">
        <v>65</v>
      </c>
      <c r="E93">
        <v>6.914487466176606</v>
      </c>
      <c r="F93">
        <v>6.2068874041233224</v>
      </c>
      <c r="G93">
        <v>1689.28353220178</v>
      </c>
      <c r="H93">
        <v>0</v>
      </c>
      <c r="I93">
        <v>0.8</v>
      </c>
      <c r="J93" t="b">
        <v>1</v>
      </c>
      <c r="K93">
        <v>1E+19</v>
      </c>
      <c r="L93">
        <v>0.3</v>
      </c>
      <c r="M93" t="b">
        <v>1</v>
      </c>
      <c r="N93">
        <v>100000000000</v>
      </c>
      <c r="O93">
        <v>0.36347507765249221</v>
      </c>
      <c r="P93">
        <v>0.18964155133440641</v>
      </c>
      <c r="Q93">
        <v>0.13079124927584471</v>
      </c>
      <c r="R93" t="s">
        <v>210</v>
      </c>
      <c r="S93" t="s">
        <v>211</v>
      </c>
      <c r="T93">
        <v>1.289935148733321</v>
      </c>
      <c r="U93">
        <v>227.38999218961339</v>
      </c>
      <c r="V93">
        <v>199.78680610879201</v>
      </c>
    </row>
    <row r="94" spans="1:26" x14ac:dyDescent="0.2">
      <c r="A94" t="s">
        <v>180</v>
      </c>
      <c r="B94" t="s">
        <v>30</v>
      </c>
      <c r="C94">
        <v>2.7</v>
      </c>
      <c r="D94">
        <v>60</v>
      </c>
      <c r="E94">
        <v>6.9098841257588992</v>
      </c>
      <c r="F94">
        <v>6.2090710971443137</v>
      </c>
      <c r="G94">
        <v>1683.7747802017809</v>
      </c>
      <c r="H94">
        <v>0</v>
      </c>
      <c r="I94">
        <v>0.8</v>
      </c>
      <c r="J94" t="b">
        <v>1</v>
      </c>
      <c r="K94">
        <v>1E+21</v>
      </c>
      <c r="L94">
        <v>0.3</v>
      </c>
      <c r="M94" t="b">
        <v>1</v>
      </c>
      <c r="N94">
        <v>100000000000</v>
      </c>
      <c r="O94">
        <v>0.36384454732684451</v>
      </c>
      <c r="P94">
        <v>0.1889602835015966</v>
      </c>
      <c r="Q94">
        <v>0.13027279309107029</v>
      </c>
      <c r="R94" t="s">
        <v>212</v>
      </c>
      <c r="S94" t="s">
        <v>213</v>
      </c>
      <c r="T94">
        <v>1.289935148733321</v>
      </c>
      <c r="U94">
        <v>209.73217564422151</v>
      </c>
      <c r="V94">
        <v>199.88528346055219</v>
      </c>
      <c r="W94">
        <f>VALUE(","&amp;MID(R94,4,10))</f>
        <v>0.16752539029999999</v>
      </c>
      <c r="X94">
        <f>((O94-0.364)/0.0012)^2+((W94-0.174)/0.016)^2</f>
        <v>0.1805338501093314</v>
      </c>
      <c r="Y94">
        <f>((O94-O$8)/0.0012)^2+((W94-W$8)/0.016)^2</f>
        <v>0.13019692403775143</v>
      </c>
      <c r="Z94" s="5">
        <f>Y94*100</f>
        <v>13.019692403775144</v>
      </c>
    </row>
    <row r="95" spans="1:26" hidden="1" x14ac:dyDescent="0.2">
      <c r="A95" t="s">
        <v>180</v>
      </c>
      <c r="B95" t="s">
        <v>30</v>
      </c>
      <c r="C95">
        <v>2.7</v>
      </c>
      <c r="D95">
        <v>60</v>
      </c>
      <c r="E95">
        <v>6.9098841257588992</v>
      </c>
      <c r="F95">
        <v>6.2090710971443137</v>
      </c>
      <c r="G95">
        <v>1683.7747802017809</v>
      </c>
      <c r="H95">
        <v>0</v>
      </c>
      <c r="I95">
        <v>0.8</v>
      </c>
      <c r="J95" t="b">
        <v>1</v>
      </c>
      <c r="K95">
        <v>1E+20</v>
      </c>
      <c r="L95">
        <v>0.3</v>
      </c>
      <c r="M95" t="b">
        <v>1</v>
      </c>
      <c r="N95">
        <v>100000000000</v>
      </c>
      <c r="O95">
        <v>0.36384454732684451</v>
      </c>
      <c r="P95">
        <v>0.1889602835015966</v>
      </c>
      <c r="Q95">
        <v>0.13027279309107029</v>
      </c>
      <c r="R95" t="s">
        <v>214</v>
      </c>
      <c r="S95" t="s">
        <v>215</v>
      </c>
      <c r="T95">
        <v>1.289935148733321</v>
      </c>
      <c r="U95">
        <v>213.75133145494721</v>
      </c>
      <c r="V95">
        <v>199.88528346055219</v>
      </c>
    </row>
    <row r="96" spans="1:26" hidden="1" x14ac:dyDescent="0.2">
      <c r="A96" t="s">
        <v>180</v>
      </c>
      <c r="B96" t="s">
        <v>30</v>
      </c>
      <c r="C96">
        <v>2.7</v>
      </c>
      <c r="D96">
        <v>60</v>
      </c>
      <c r="E96">
        <v>6.9098841257588992</v>
      </c>
      <c r="F96">
        <v>6.2090710971443137</v>
      </c>
      <c r="G96">
        <v>1683.7747802017809</v>
      </c>
      <c r="H96">
        <v>0</v>
      </c>
      <c r="I96">
        <v>0.8</v>
      </c>
      <c r="J96" t="b">
        <v>1</v>
      </c>
      <c r="K96">
        <v>1E+19</v>
      </c>
      <c r="L96">
        <v>0.3</v>
      </c>
      <c r="M96" t="b">
        <v>1</v>
      </c>
      <c r="N96">
        <v>100000000000</v>
      </c>
      <c r="O96">
        <v>0.36384454732684451</v>
      </c>
      <c r="P96">
        <v>0.1889602835015966</v>
      </c>
      <c r="Q96">
        <v>0.13027279309107029</v>
      </c>
      <c r="R96" t="s">
        <v>216</v>
      </c>
      <c r="S96" t="s">
        <v>217</v>
      </c>
      <c r="T96">
        <v>1.289935148733321</v>
      </c>
      <c r="U96">
        <v>227.29182513738351</v>
      </c>
      <c r="V96">
        <v>199.88528346055219</v>
      </c>
    </row>
    <row r="97" spans="1:26" x14ac:dyDescent="0.2">
      <c r="A97" t="s">
        <v>180</v>
      </c>
      <c r="B97" t="s">
        <v>30</v>
      </c>
      <c r="C97">
        <v>2.7</v>
      </c>
      <c r="D97">
        <v>55</v>
      </c>
      <c r="E97">
        <v>6.9102737654078421</v>
      </c>
      <c r="F97">
        <v>6.2114240592601746</v>
      </c>
      <c r="G97">
        <v>1677.9270362017819</v>
      </c>
      <c r="H97">
        <v>0</v>
      </c>
      <c r="I97">
        <v>0.8</v>
      </c>
      <c r="J97" t="b">
        <v>1</v>
      </c>
      <c r="K97">
        <v>1E+21</v>
      </c>
      <c r="L97">
        <v>0.3</v>
      </c>
      <c r="M97" t="b">
        <v>1</v>
      </c>
      <c r="N97">
        <v>100000000000</v>
      </c>
      <c r="O97">
        <v>0.36421077397490748</v>
      </c>
      <c r="P97">
        <v>0.18828755629081051</v>
      </c>
      <c r="Q97">
        <v>0.12971484445478071</v>
      </c>
      <c r="R97" t="s">
        <v>218</v>
      </c>
      <c r="S97" t="s">
        <v>219</v>
      </c>
      <c r="T97">
        <v>1.289935148733321</v>
      </c>
      <c r="U97">
        <v>209.7507007328901</v>
      </c>
      <c r="V97">
        <v>199.98559036757439</v>
      </c>
      <c r="W97">
        <f>VALUE(","&amp;MID(R97,4,10))</f>
        <v>0.16662877609999999</v>
      </c>
      <c r="X97">
        <f>((O97-0.364)/0.0012)^2+((W97-0.174)/0.016)^2</f>
        <v>0.24309702502285729</v>
      </c>
      <c r="Y97">
        <f>((O97-O$8)/0.0012)^2+((W97-W$8)/0.016)^2</f>
        <v>1.0754794642619523E-2</v>
      </c>
      <c r="Z97" s="5">
        <f>Y97*100</f>
        <v>1.0754794642619523</v>
      </c>
    </row>
    <row r="98" spans="1:26" hidden="1" x14ac:dyDescent="0.2">
      <c r="A98" t="s">
        <v>180</v>
      </c>
      <c r="B98" t="s">
        <v>30</v>
      </c>
      <c r="C98">
        <v>2.7</v>
      </c>
      <c r="D98">
        <v>55</v>
      </c>
      <c r="E98">
        <v>6.9102737654078421</v>
      </c>
      <c r="F98">
        <v>6.2114240592601746</v>
      </c>
      <c r="G98">
        <v>1677.9270362017819</v>
      </c>
      <c r="H98">
        <v>0</v>
      </c>
      <c r="I98">
        <v>0.8</v>
      </c>
      <c r="J98" t="b">
        <v>1</v>
      </c>
      <c r="K98">
        <v>1E+20</v>
      </c>
      <c r="L98">
        <v>0.3</v>
      </c>
      <c r="M98" t="b">
        <v>1</v>
      </c>
      <c r="N98">
        <v>100000000000</v>
      </c>
      <c r="O98">
        <v>0.36421077397490748</v>
      </c>
      <c r="P98">
        <v>0.18828755629081051</v>
      </c>
      <c r="Q98">
        <v>0.12971484445478071</v>
      </c>
      <c r="R98" t="s">
        <v>220</v>
      </c>
      <c r="S98" t="s">
        <v>221</v>
      </c>
      <c r="T98">
        <v>1.289935148733321</v>
      </c>
      <c r="U98">
        <v>213.74497536899801</v>
      </c>
      <c r="V98">
        <v>199.98559036757439</v>
      </c>
    </row>
    <row r="99" spans="1:26" hidden="1" x14ac:dyDescent="0.2">
      <c r="A99" t="s">
        <v>180</v>
      </c>
      <c r="B99" t="s">
        <v>30</v>
      </c>
      <c r="C99">
        <v>2.7</v>
      </c>
      <c r="D99">
        <v>55</v>
      </c>
      <c r="E99">
        <v>6.9102737654078421</v>
      </c>
      <c r="F99">
        <v>6.2114240592601746</v>
      </c>
      <c r="G99">
        <v>1677.9270362017819</v>
      </c>
      <c r="H99">
        <v>0</v>
      </c>
      <c r="I99">
        <v>0.8</v>
      </c>
      <c r="J99" t="b">
        <v>1</v>
      </c>
      <c r="K99">
        <v>1E+19</v>
      </c>
      <c r="L99">
        <v>0.3</v>
      </c>
      <c r="M99" t="b">
        <v>1</v>
      </c>
      <c r="N99">
        <v>100000000000</v>
      </c>
      <c r="O99">
        <v>0.36421077397490748</v>
      </c>
      <c r="P99">
        <v>0.18828755629081051</v>
      </c>
      <c r="Q99">
        <v>0.12971484445478071</v>
      </c>
      <c r="R99" t="s">
        <v>222</v>
      </c>
      <c r="S99" t="s">
        <v>223</v>
      </c>
      <c r="T99">
        <v>1.289935148733321</v>
      </c>
      <c r="U99">
        <v>227.17882693673781</v>
      </c>
      <c r="V99">
        <v>199.98559036757439</v>
      </c>
    </row>
    <row r="100" spans="1:26" hidden="1" x14ac:dyDescent="0.2">
      <c r="A100" t="s">
        <v>180</v>
      </c>
      <c r="B100" t="s">
        <v>30</v>
      </c>
      <c r="C100">
        <v>2.7</v>
      </c>
      <c r="D100">
        <v>50</v>
      </c>
      <c r="E100">
        <v>6.9043520992269949</v>
      </c>
      <c r="F100">
        <v>6.2135450430562109</v>
      </c>
      <c r="G100">
        <v>1672.418284201784</v>
      </c>
      <c r="H100">
        <v>0</v>
      </c>
      <c r="I100">
        <v>0.8</v>
      </c>
      <c r="J100" t="b">
        <v>1</v>
      </c>
      <c r="K100">
        <v>1E+20</v>
      </c>
      <c r="L100">
        <v>0.3</v>
      </c>
      <c r="M100" t="b">
        <v>1</v>
      </c>
      <c r="N100">
        <v>100000000000</v>
      </c>
      <c r="O100">
        <v>0.36458699224016011</v>
      </c>
      <c r="P100">
        <v>0.1875961589244288</v>
      </c>
      <c r="Q100">
        <v>0.1292094375043038</v>
      </c>
      <c r="R100" t="s">
        <v>224</v>
      </c>
      <c r="S100" t="s">
        <v>225</v>
      </c>
      <c r="T100">
        <v>1.289935148733321</v>
      </c>
      <c r="U100">
        <v>213.74400113781951</v>
      </c>
      <c r="V100">
        <v>200.08130244812881</v>
      </c>
    </row>
    <row r="101" spans="1:26" hidden="1" x14ac:dyDescent="0.2">
      <c r="A101" t="s">
        <v>180</v>
      </c>
      <c r="B101" t="s">
        <v>30</v>
      </c>
      <c r="C101">
        <v>2.7</v>
      </c>
      <c r="D101">
        <v>50</v>
      </c>
      <c r="E101">
        <v>6.9043520992269949</v>
      </c>
      <c r="F101">
        <v>6.2135450430562109</v>
      </c>
      <c r="G101">
        <v>1672.418284201784</v>
      </c>
      <c r="H101">
        <v>0</v>
      </c>
      <c r="I101">
        <v>0.8</v>
      </c>
      <c r="J101" t="b">
        <v>1</v>
      </c>
      <c r="K101">
        <v>1E+19</v>
      </c>
      <c r="L101">
        <v>0.3</v>
      </c>
      <c r="M101" t="b">
        <v>1</v>
      </c>
      <c r="N101">
        <v>100000000000</v>
      </c>
      <c r="O101">
        <v>0.36458699224016011</v>
      </c>
      <c r="P101">
        <v>0.1875961589244288</v>
      </c>
      <c r="Q101">
        <v>0.1292094375043038</v>
      </c>
      <c r="R101" t="s">
        <v>226</v>
      </c>
      <c r="S101" t="s">
        <v>227</v>
      </c>
      <c r="T101">
        <v>1.289935148733321</v>
      </c>
      <c r="U101">
        <v>227.08313960321229</v>
      </c>
      <c r="V101">
        <v>200.08130244812881</v>
      </c>
    </row>
    <row r="102" spans="1:26" x14ac:dyDescent="0.2">
      <c r="A102" t="s">
        <v>180</v>
      </c>
      <c r="B102" t="s">
        <v>30</v>
      </c>
      <c r="C102">
        <v>2.8</v>
      </c>
      <c r="D102">
        <v>70</v>
      </c>
      <c r="E102">
        <v>6.9103240643095178</v>
      </c>
      <c r="F102">
        <v>6.2092254353337344</v>
      </c>
      <c r="G102">
        <v>1683.2665562017801</v>
      </c>
      <c r="H102">
        <v>0</v>
      </c>
      <c r="I102">
        <v>0.8</v>
      </c>
      <c r="J102" t="b">
        <v>1</v>
      </c>
      <c r="K102">
        <v>1E+21</v>
      </c>
      <c r="L102">
        <v>0.3</v>
      </c>
      <c r="M102" t="b">
        <v>1</v>
      </c>
      <c r="N102">
        <v>100000000000</v>
      </c>
      <c r="O102">
        <v>0.36389469663675772</v>
      </c>
      <c r="P102">
        <v>0.18890874597243659</v>
      </c>
      <c r="Q102">
        <v>0.13025407074720971</v>
      </c>
      <c r="R102" t="s">
        <v>228</v>
      </c>
      <c r="S102" t="s">
        <v>229</v>
      </c>
      <c r="T102">
        <v>1.289935148733321</v>
      </c>
      <c r="U102">
        <v>209.73488412606</v>
      </c>
      <c r="V102">
        <v>199.8993214765531</v>
      </c>
      <c r="W102">
        <f>VALUE(","&amp;MID(R102,4,10))</f>
        <v>0.16748849360000001</v>
      </c>
      <c r="X102">
        <f>((O102-0.364)/0.0012)^2+((W102-0.174)/0.016)^2</f>
        <v>0.17332444343375858</v>
      </c>
      <c r="Y102">
        <f>((O102-O$8)/0.0012)^2+((W102-W$8)/0.016)^2</f>
        <v>0.10206103680340291</v>
      </c>
      <c r="Z102" s="5">
        <f>Y102*100</f>
        <v>10.206103680340291</v>
      </c>
    </row>
    <row r="103" spans="1:26" hidden="1" x14ac:dyDescent="0.2">
      <c r="A103" t="s">
        <v>180</v>
      </c>
      <c r="B103" t="s">
        <v>30</v>
      </c>
      <c r="C103">
        <v>2.8</v>
      </c>
      <c r="D103">
        <v>70</v>
      </c>
      <c r="E103">
        <v>6.9103240643095178</v>
      </c>
      <c r="F103">
        <v>6.2092254353337344</v>
      </c>
      <c r="G103">
        <v>1683.2665562017801</v>
      </c>
      <c r="H103">
        <v>0</v>
      </c>
      <c r="I103">
        <v>0.8</v>
      </c>
      <c r="J103" t="b">
        <v>1</v>
      </c>
      <c r="K103">
        <v>1E+20</v>
      </c>
      <c r="L103">
        <v>0.3</v>
      </c>
      <c r="M103" t="b">
        <v>1</v>
      </c>
      <c r="N103">
        <v>100000000000</v>
      </c>
      <c r="O103">
        <v>0.36389469663675772</v>
      </c>
      <c r="P103">
        <v>0.18890874597243659</v>
      </c>
      <c r="Q103">
        <v>0.13025407074720971</v>
      </c>
      <c r="R103" t="s">
        <v>230</v>
      </c>
      <c r="S103" t="s">
        <v>231</v>
      </c>
      <c r="T103">
        <v>1.289935148733321</v>
      </c>
      <c r="U103">
        <v>213.74157267928041</v>
      </c>
      <c r="V103">
        <v>199.8993214765531</v>
      </c>
    </row>
    <row r="104" spans="1:26" hidden="1" x14ac:dyDescent="0.2">
      <c r="A104" t="s">
        <v>180</v>
      </c>
      <c r="B104" t="s">
        <v>30</v>
      </c>
      <c r="C104">
        <v>2.8</v>
      </c>
      <c r="D104">
        <v>70</v>
      </c>
      <c r="E104">
        <v>6.9103240643095178</v>
      </c>
      <c r="F104">
        <v>6.2092254353337344</v>
      </c>
      <c r="G104">
        <v>1683.2665562017801</v>
      </c>
      <c r="H104">
        <v>0</v>
      </c>
      <c r="I104">
        <v>0.8</v>
      </c>
      <c r="J104" t="b">
        <v>1</v>
      </c>
      <c r="K104">
        <v>1E+19</v>
      </c>
      <c r="L104">
        <v>0.3</v>
      </c>
      <c r="M104" t="b">
        <v>1</v>
      </c>
      <c r="N104">
        <v>100000000000</v>
      </c>
      <c r="O104">
        <v>0.36389469663675772</v>
      </c>
      <c r="P104">
        <v>0.18890874597243659</v>
      </c>
      <c r="Q104">
        <v>0.13025407074720971</v>
      </c>
      <c r="R104" t="s">
        <v>232</v>
      </c>
      <c r="S104" t="s">
        <v>233</v>
      </c>
      <c r="T104">
        <v>1.289935148733321</v>
      </c>
      <c r="U104">
        <v>227.21536707721569</v>
      </c>
      <c r="V104">
        <v>199.8993214765531</v>
      </c>
    </row>
    <row r="105" spans="1:26" s="4" customFormat="1" x14ac:dyDescent="0.2">
      <c r="A105" s="4" t="s">
        <v>180</v>
      </c>
      <c r="B105" s="4" t="s">
        <v>30</v>
      </c>
      <c r="C105" s="4">
        <v>2.8</v>
      </c>
      <c r="D105" s="4">
        <v>65</v>
      </c>
      <c r="E105" s="4">
        <v>6.9080466978326136</v>
      </c>
      <c r="F105" s="4">
        <v>6.2111475157506133</v>
      </c>
      <c r="G105" s="4">
        <v>1678.435788201781</v>
      </c>
      <c r="H105" s="4">
        <v>0</v>
      </c>
      <c r="I105" s="4">
        <v>0.8</v>
      </c>
      <c r="J105" s="4" t="b">
        <v>1</v>
      </c>
      <c r="K105" s="4">
        <v>1E+21</v>
      </c>
      <c r="L105" s="4">
        <v>0.3</v>
      </c>
      <c r="M105" s="4" t="b">
        <v>1</v>
      </c>
      <c r="N105" s="4">
        <v>100000000000</v>
      </c>
      <c r="O105" s="4">
        <v>0.36420733666405031</v>
      </c>
      <c r="P105" s="4">
        <v>0.18832826239437539</v>
      </c>
      <c r="Q105" s="4">
        <v>0.12979664420467699</v>
      </c>
      <c r="R105" s="4" t="s">
        <v>234</v>
      </c>
      <c r="S105" s="4" t="s">
        <v>235</v>
      </c>
      <c r="T105" s="4">
        <v>1.289935148733321</v>
      </c>
      <c r="U105" s="4">
        <v>209.7518748734874</v>
      </c>
      <c r="V105" s="4">
        <v>199.98287770962199</v>
      </c>
      <c r="W105" s="4">
        <f>VALUE(","&amp;MID(R105,4,10))</f>
        <v>0.16675140920000001</v>
      </c>
      <c r="X105" s="4">
        <f>((O105-0.364)/0.0012)^2+((W105-0.174)/0.016)^2</f>
        <v>0.23509557503811715</v>
      </c>
      <c r="Y105" s="4">
        <f>((O105-O$8)/0.0012)^2+((W105-W$8)/0.016)^2</f>
        <v>9.77666850303947E-3</v>
      </c>
      <c r="Z105" s="6">
        <f>Y105*100</f>
        <v>0.97766685030394695</v>
      </c>
    </row>
    <row r="106" spans="1:26" hidden="1" x14ac:dyDescent="0.2">
      <c r="A106" t="s">
        <v>180</v>
      </c>
      <c r="B106" t="s">
        <v>30</v>
      </c>
      <c r="C106">
        <v>2.8</v>
      </c>
      <c r="D106">
        <v>65</v>
      </c>
      <c r="E106">
        <v>6.9080466978326136</v>
      </c>
      <c r="F106">
        <v>6.2111475157506133</v>
      </c>
      <c r="G106">
        <v>1678.435788201781</v>
      </c>
      <c r="H106">
        <v>0</v>
      </c>
      <c r="I106">
        <v>0.8</v>
      </c>
      <c r="J106" t="b">
        <v>1</v>
      </c>
      <c r="K106">
        <v>1E+20</v>
      </c>
      <c r="L106">
        <v>0.3</v>
      </c>
      <c r="M106" t="b">
        <v>1</v>
      </c>
      <c r="N106">
        <v>100000000000</v>
      </c>
      <c r="O106">
        <v>0.36420733666405031</v>
      </c>
      <c r="P106">
        <v>0.18832826239437539</v>
      </c>
      <c r="Q106">
        <v>0.12979664420467699</v>
      </c>
      <c r="R106" t="s">
        <v>236</v>
      </c>
      <c r="S106" t="s">
        <v>237</v>
      </c>
      <c r="T106">
        <v>1.289935148733321</v>
      </c>
      <c r="U106">
        <v>213.73934899579231</v>
      </c>
      <c r="V106">
        <v>199.98287770962199</v>
      </c>
    </row>
    <row r="107" spans="1:26" hidden="1" x14ac:dyDescent="0.2">
      <c r="A107" t="s">
        <v>180</v>
      </c>
      <c r="B107" t="s">
        <v>30</v>
      </c>
      <c r="C107">
        <v>2.8</v>
      </c>
      <c r="D107">
        <v>65</v>
      </c>
      <c r="E107">
        <v>6.9080466978326136</v>
      </c>
      <c r="F107">
        <v>6.2111475157506133</v>
      </c>
      <c r="G107">
        <v>1678.435788201781</v>
      </c>
      <c r="H107">
        <v>0</v>
      </c>
      <c r="I107">
        <v>0.8</v>
      </c>
      <c r="J107" t="b">
        <v>1</v>
      </c>
      <c r="K107">
        <v>1E+19</v>
      </c>
      <c r="L107">
        <v>0.3</v>
      </c>
      <c r="M107" t="b">
        <v>1</v>
      </c>
      <c r="N107">
        <v>100000000000</v>
      </c>
      <c r="O107">
        <v>0.36420733666405031</v>
      </c>
      <c r="P107">
        <v>0.18832826239437539</v>
      </c>
      <c r="Q107">
        <v>0.12979664420467699</v>
      </c>
      <c r="R107" t="s">
        <v>238</v>
      </c>
      <c r="S107" t="s">
        <v>239</v>
      </c>
      <c r="T107">
        <v>1.289935148733321</v>
      </c>
      <c r="U107">
        <v>227.13195156454279</v>
      </c>
      <c r="V107">
        <v>199.98287770962199</v>
      </c>
    </row>
    <row r="108" spans="1:26" x14ac:dyDescent="0.2">
      <c r="A108" t="s">
        <v>180</v>
      </c>
      <c r="B108" t="s">
        <v>30</v>
      </c>
      <c r="C108">
        <v>2.8</v>
      </c>
      <c r="D108">
        <v>60</v>
      </c>
      <c r="E108">
        <v>6.9053021819132221</v>
      </c>
      <c r="F108">
        <v>6.2130463930091384</v>
      </c>
      <c r="G108">
        <v>1673.605020201783</v>
      </c>
      <c r="H108">
        <v>0</v>
      </c>
      <c r="I108">
        <v>0.8</v>
      </c>
      <c r="J108" t="b">
        <v>1</v>
      </c>
      <c r="K108">
        <v>1E+21</v>
      </c>
      <c r="L108">
        <v>0.3</v>
      </c>
      <c r="M108" t="b">
        <v>1</v>
      </c>
      <c r="N108">
        <v>100000000000</v>
      </c>
      <c r="O108">
        <v>0.36452251809179481</v>
      </c>
      <c r="P108">
        <v>0.18774433451989869</v>
      </c>
      <c r="Q108">
        <v>0.12934403155013599</v>
      </c>
      <c r="R108" t="s">
        <v>240</v>
      </c>
      <c r="S108" t="s">
        <v>241</v>
      </c>
      <c r="T108">
        <v>1.289935148733321</v>
      </c>
      <c r="U108">
        <v>209.7684855768816</v>
      </c>
      <c r="V108">
        <v>200.0654019185485</v>
      </c>
      <c r="W108">
        <f>VALUE(","&amp;MID(R108,4,10))</f>
        <v>0.16602148620000001</v>
      </c>
      <c r="X108">
        <f>((O108-0.364)/0.0012)^2+((W108-0.174)/0.016)^2</f>
        <v>0.43825971880023984</v>
      </c>
      <c r="Y108">
        <f>((O108-O$8)/0.0012)^2+((W108-W$8)/0.016)^2</f>
        <v>5.8245090644945999E-2</v>
      </c>
      <c r="Z108" s="5">
        <f>Y108*100</f>
        <v>5.8245090644945998</v>
      </c>
    </row>
    <row r="109" spans="1:26" hidden="1" x14ac:dyDescent="0.2">
      <c r="A109" t="s">
        <v>180</v>
      </c>
      <c r="B109" t="s">
        <v>30</v>
      </c>
      <c r="C109">
        <v>2.8</v>
      </c>
      <c r="D109">
        <v>60</v>
      </c>
      <c r="E109">
        <v>6.9053021819132221</v>
      </c>
      <c r="F109">
        <v>6.2130463930091384</v>
      </c>
      <c r="G109">
        <v>1673.605020201783</v>
      </c>
      <c r="H109">
        <v>0</v>
      </c>
      <c r="I109">
        <v>0.8</v>
      </c>
      <c r="J109" t="b">
        <v>1</v>
      </c>
      <c r="K109">
        <v>1E+20</v>
      </c>
      <c r="L109">
        <v>0.3</v>
      </c>
      <c r="M109" t="b">
        <v>1</v>
      </c>
      <c r="N109">
        <v>100000000000</v>
      </c>
      <c r="O109">
        <v>0.36452251809179481</v>
      </c>
      <c r="P109">
        <v>0.18774433451989869</v>
      </c>
      <c r="Q109">
        <v>0.12934403155013599</v>
      </c>
      <c r="R109" t="s">
        <v>242</v>
      </c>
      <c r="S109" t="s">
        <v>243</v>
      </c>
      <c r="T109">
        <v>1.289935148733321</v>
      </c>
      <c r="U109">
        <v>213.73699052638639</v>
      </c>
      <c r="V109">
        <v>200.0654019185485</v>
      </c>
    </row>
    <row r="110" spans="1:26" hidden="1" x14ac:dyDescent="0.2">
      <c r="A110" t="s">
        <v>180</v>
      </c>
      <c r="B110" t="s">
        <v>30</v>
      </c>
      <c r="C110">
        <v>2.8</v>
      </c>
      <c r="D110">
        <v>60</v>
      </c>
      <c r="E110">
        <v>6.9053021819132221</v>
      </c>
      <c r="F110">
        <v>6.2130463930091384</v>
      </c>
      <c r="G110">
        <v>1673.605020201783</v>
      </c>
      <c r="H110">
        <v>0</v>
      </c>
      <c r="I110">
        <v>0.8</v>
      </c>
      <c r="J110" t="b">
        <v>1</v>
      </c>
      <c r="K110">
        <v>1E+19</v>
      </c>
      <c r="L110">
        <v>0.3</v>
      </c>
      <c r="M110" t="b">
        <v>1</v>
      </c>
      <c r="N110">
        <v>100000000000</v>
      </c>
      <c r="O110">
        <v>0.36452251809179481</v>
      </c>
      <c r="P110">
        <v>0.18774433451989869</v>
      </c>
      <c r="Q110">
        <v>0.12934403155013599</v>
      </c>
      <c r="R110" t="s">
        <v>244</v>
      </c>
      <c r="S110" t="s">
        <v>245</v>
      </c>
      <c r="T110">
        <v>1.289935148733321</v>
      </c>
      <c r="U110">
        <v>227.0493279358794</v>
      </c>
      <c r="V110">
        <v>200.0654019185485</v>
      </c>
    </row>
    <row r="111" spans="1:26" hidden="1" x14ac:dyDescent="0.2">
      <c r="A111" t="s">
        <v>180</v>
      </c>
      <c r="B111" t="s">
        <v>30</v>
      </c>
      <c r="C111">
        <v>2.9</v>
      </c>
      <c r="D111">
        <v>72</v>
      </c>
      <c r="E111">
        <v>6.90981556218052</v>
      </c>
      <c r="F111">
        <v>6.2133658038186654</v>
      </c>
      <c r="G111">
        <v>1672.791756201781</v>
      </c>
      <c r="H111">
        <v>0</v>
      </c>
      <c r="I111">
        <v>0.8</v>
      </c>
      <c r="J111" t="b">
        <v>1</v>
      </c>
      <c r="K111">
        <v>1E+20</v>
      </c>
      <c r="L111">
        <v>0.3</v>
      </c>
      <c r="M111" t="b">
        <v>1</v>
      </c>
      <c r="N111">
        <v>100000000000</v>
      </c>
      <c r="O111">
        <v>0.36457188933545281</v>
      </c>
      <c r="P111">
        <v>0.1876963070638771</v>
      </c>
      <c r="Q111">
        <v>0.12929228484682789</v>
      </c>
      <c r="R111" t="s">
        <v>246</v>
      </c>
      <c r="S111" t="s">
        <v>247</v>
      </c>
      <c r="T111">
        <v>1.289935148733321</v>
      </c>
      <c r="U111">
        <v>213.72115447618049</v>
      </c>
      <c r="V111">
        <v>200.0832167721131</v>
      </c>
    </row>
    <row r="112" spans="1:26" hidden="1" x14ac:dyDescent="0.2">
      <c r="A112" t="s">
        <v>180</v>
      </c>
      <c r="B112" t="s">
        <v>30</v>
      </c>
      <c r="C112">
        <v>2.9</v>
      </c>
      <c r="D112">
        <v>72</v>
      </c>
      <c r="E112">
        <v>6.90981556218052</v>
      </c>
      <c r="F112">
        <v>6.2133658038186654</v>
      </c>
      <c r="G112">
        <v>1672.791756201781</v>
      </c>
      <c r="H112">
        <v>0</v>
      </c>
      <c r="I112">
        <v>0.8</v>
      </c>
      <c r="J112" t="b">
        <v>1</v>
      </c>
      <c r="K112">
        <v>1E+19</v>
      </c>
      <c r="L112">
        <v>0.3</v>
      </c>
      <c r="M112" t="b">
        <v>1</v>
      </c>
      <c r="N112">
        <v>100000000000</v>
      </c>
      <c r="O112">
        <v>0.36457188933545281</v>
      </c>
      <c r="P112">
        <v>0.1876963070638771</v>
      </c>
      <c r="Q112">
        <v>0.12929228484682789</v>
      </c>
      <c r="R112" t="s">
        <v>248</v>
      </c>
      <c r="S112" t="s">
        <v>249</v>
      </c>
      <c r="T112">
        <v>1.289935148733321</v>
      </c>
      <c r="U112">
        <v>226.949338857702</v>
      </c>
      <c r="V112">
        <v>200.0832167721131</v>
      </c>
    </row>
    <row r="113" spans="1:22" hidden="1" x14ac:dyDescent="0.2">
      <c r="A113" t="s">
        <v>180</v>
      </c>
      <c r="B113" t="s">
        <v>30</v>
      </c>
      <c r="C113">
        <v>2.7</v>
      </c>
      <c r="D113">
        <v>60</v>
      </c>
      <c r="E113">
        <v>7.0625354564367591</v>
      </c>
      <c r="F113">
        <v>6.3690827252500801</v>
      </c>
      <c r="G113">
        <v>1648.87257149587</v>
      </c>
      <c r="H113">
        <v>0</v>
      </c>
      <c r="I113">
        <v>0.7</v>
      </c>
      <c r="J113" t="b">
        <v>1</v>
      </c>
      <c r="K113">
        <v>1E+19</v>
      </c>
      <c r="L113">
        <v>0.3</v>
      </c>
      <c r="M113" t="b">
        <v>1</v>
      </c>
      <c r="N113">
        <v>100000000000</v>
      </c>
      <c r="O113">
        <v>0.36356587153862752</v>
      </c>
      <c r="P113">
        <v>0.18614675365738489</v>
      </c>
      <c r="Q113">
        <v>0.12566342364821859</v>
      </c>
      <c r="R113" t="s">
        <v>250</v>
      </c>
      <c r="S113" t="s">
        <v>251</v>
      </c>
      <c r="T113">
        <v>1.289935148733321</v>
      </c>
      <c r="U113">
        <v>225.48850203551041</v>
      </c>
      <c r="V113">
        <v>199.97886609818451</v>
      </c>
    </row>
    <row r="114" spans="1:22" hidden="1" x14ac:dyDescent="0.2">
      <c r="A114" t="s">
        <v>180</v>
      </c>
      <c r="B114" t="s">
        <v>30</v>
      </c>
      <c r="C114">
        <v>2.7</v>
      </c>
      <c r="D114">
        <v>55</v>
      </c>
      <c r="E114">
        <v>7.0571097810181351</v>
      </c>
      <c r="F114">
        <v>6.3710395580756289</v>
      </c>
      <c r="G114">
        <v>1643.505834464896</v>
      </c>
      <c r="H114">
        <v>0</v>
      </c>
      <c r="I114">
        <v>0.7</v>
      </c>
      <c r="J114" t="b">
        <v>1</v>
      </c>
      <c r="K114">
        <v>1E+19</v>
      </c>
      <c r="L114">
        <v>0.3</v>
      </c>
      <c r="M114" t="b">
        <v>1</v>
      </c>
      <c r="N114">
        <v>100000000000</v>
      </c>
      <c r="O114">
        <v>0.3639433455593713</v>
      </c>
      <c r="P114">
        <v>0.18547895075676751</v>
      </c>
      <c r="Q114">
        <v>0.1252093895906026</v>
      </c>
      <c r="R114" t="s">
        <v>252</v>
      </c>
      <c r="S114" t="s">
        <v>253</v>
      </c>
      <c r="T114">
        <v>1.289935148733321</v>
      </c>
      <c r="U114">
        <v>225.38810519065771</v>
      </c>
      <c r="V114">
        <v>200.07067216842589</v>
      </c>
    </row>
    <row r="115" spans="1:22" hidden="1" x14ac:dyDescent="0.2">
      <c r="A115" t="s">
        <v>180</v>
      </c>
      <c r="B115" t="s">
        <v>30</v>
      </c>
      <c r="C115">
        <v>2.7</v>
      </c>
      <c r="D115">
        <v>50</v>
      </c>
      <c r="E115">
        <v>7.0576042205788498</v>
      </c>
      <c r="F115">
        <v>6.3731925275092518</v>
      </c>
      <c r="G115">
        <v>1637.753872513229</v>
      </c>
      <c r="H115">
        <v>0</v>
      </c>
      <c r="I115">
        <v>0.7</v>
      </c>
      <c r="J115" t="b">
        <v>1</v>
      </c>
      <c r="K115">
        <v>1E+19</v>
      </c>
      <c r="L115">
        <v>0.3</v>
      </c>
      <c r="M115" t="b">
        <v>1</v>
      </c>
      <c r="N115">
        <v>100000000000</v>
      </c>
      <c r="O115">
        <v>0.36431679902654018</v>
      </c>
      <c r="P115">
        <v>0.18482468259818041</v>
      </c>
      <c r="Q115">
        <v>0.1247484179270999</v>
      </c>
      <c r="R115" t="s">
        <v>254</v>
      </c>
      <c r="S115" t="s">
        <v>255</v>
      </c>
      <c r="T115">
        <v>1.289935148733321</v>
      </c>
      <c r="U115">
        <v>225.32452054556961</v>
      </c>
      <c r="V115">
        <v>200.17075335450511</v>
      </c>
    </row>
    <row r="116" spans="1:22" hidden="1" x14ac:dyDescent="0.2">
      <c r="A116" t="s">
        <v>180</v>
      </c>
      <c r="B116" t="s">
        <v>30</v>
      </c>
      <c r="C116">
        <v>2.7</v>
      </c>
      <c r="D116">
        <v>50</v>
      </c>
      <c r="E116">
        <v>7.0576042205788498</v>
      </c>
      <c r="F116">
        <v>6.3731925275092518</v>
      </c>
      <c r="G116">
        <v>1637.753872513229</v>
      </c>
      <c r="H116">
        <v>0</v>
      </c>
      <c r="I116">
        <v>0.7</v>
      </c>
      <c r="J116" t="b">
        <v>1</v>
      </c>
      <c r="K116">
        <v>1E+18</v>
      </c>
      <c r="L116">
        <v>0.3</v>
      </c>
      <c r="M116" t="b">
        <v>1</v>
      </c>
      <c r="N116">
        <v>100000000000</v>
      </c>
      <c r="O116">
        <v>0.36431679902654018</v>
      </c>
      <c r="P116">
        <v>0.18482468259818041</v>
      </c>
      <c r="Q116">
        <v>0.1247484179270999</v>
      </c>
      <c r="R116" t="s">
        <v>256</v>
      </c>
      <c r="S116" t="s">
        <v>257</v>
      </c>
      <c r="T116">
        <v>1.289935148733321</v>
      </c>
      <c r="U116">
        <v>285.51866258878653</v>
      </c>
      <c r="V116">
        <v>200.17075335450511</v>
      </c>
    </row>
    <row r="117" spans="1:22" hidden="1" x14ac:dyDescent="0.2">
      <c r="A117" t="s">
        <v>180</v>
      </c>
      <c r="B117" t="s">
        <v>30</v>
      </c>
      <c r="C117">
        <v>2.8</v>
      </c>
      <c r="D117">
        <v>70</v>
      </c>
      <c r="E117">
        <v>7.0620353823813096</v>
      </c>
      <c r="F117">
        <v>6.3691902301283649</v>
      </c>
      <c r="G117">
        <v>1648.4305753667561</v>
      </c>
      <c r="H117">
        <v>0</v>
      </c>
      <c r="I117">
        <v>0.7</v>
      </c>
      <c r="J117" t="b">
        <v>1</v>
      </c>
      <c r="K117">
        <v>1E+19</v>
      </c>
      <c r="L117">
        <v>0.3</v>
      </c>
      <c r="M117" t="b">
        <v>1</v>
      </c>
      <c r="N117">
        <v>100000000000</v>
      </c>
      <c r="O117">
        <v>0.36361749491329592</v>
      </c>
      <c r="P117">
        <v>0.18609440466907509</v>
      </c>
      <c r="Q117">
        <v>0.12567432201803941</v>
      </c>
      <c r="R117" t="s">
        <v>258</v>
      </c>
      <c r="S117" t="s">
        <v>259</v>
      </c>
      <c r="T117">
        <v>1.289935148733321</v>
      </c>
      <c r="U117">
        <v>225.419118745091</v>
      </c>
      <c r="V117">
        <v>199.9948922851639</v>
      </c>
    </row>
    <row r="118" spans="1:22" hidden="1" x14ac:dyDescent="0.2">
      <c r="A118" t="s">
        <v>180</v>
      </c>
      <c r="B118" t="s">
        <v>30</v>
      </c>
      <c r="C118">
        <v>2.8</v>
      </c>
      <c r="D118">
        <v>65</v>
      </c>
      <c r="E118">
        <v>7.0574175378784663</v>
      </c>
      <c r="F118">
        <v>6.3708655857435117</v>
      </c>
      <c r="G118">
        <v>1643.8531430807161</v>
      </c>
      <c r="H118">
        <v>0</v>
      </c>
      <c r="I118">
        <v>0.7</v>
      </c>
      <c r="J118" t="b">
        <v>1</v>
      </c>
      <c r="K118">
        <v>1E+19</v>
      </c>
      <c r="L118">
        <v>0.3</v>
      </c>
      <c r="M118" t="b">
        <v>1</v>
      </c>
      <c r="N118">
        <v>100000000000</v>
      </c>
      <c r="O118">
        <v>0.3639366591182896</v>
      </c>
      <c r="P118">
        <v>0.18552445572133669</v>
      </c>
      <c r="Q118">
        <v>0.12526521194235871</v>
      </c>
      <c r="R118" t="s">
        <v>260</v>
      </c>
      <c r="S118" t="s">
        <v>261</v>
      </c>
      <c r="T118">
        <v>1.289935148733321</v>
      </c>
      <c r="U118">
        <v>225.34609922880961</v>
      </c>
      <c r="V118">
        <v>200.06941447848291</v>
      </c>
    </row>
    <row r="119" spans="1:22" hidden="1" x14ac:dyDescent="0.2">
      <c r="A119" t="s">
        <v>180</v>
      </c>
      <c r="B119" t="s">
        <v>30</v>
      </c>
      <c r="C119">
        <v>2.8</v>
      </c>
      <c r="D119">
        <v>60</v>
      </c>
      <c r="E119">
        <v>7.0587171652458247</v>
      </c>
      <c r="F119">
        <v>6.3727403889795227</v>
      </c>
      <c r="G119">
        <v>1638.902398509556</v>
      </c>
      <c r="H119">
        <v>0</v>
      </c>
      <c r="I119">
        <v>0.7</v>
      </c>
      <c r="J119" t="b">
        <v>1</v>
      </c>
      <c r="K119">
        <v>1E+19</v>
      </c>
      <c r="L119">
        <v>0.3</v>
      </c>
      <c r="M119" t="b">
        <v>1</v>
      </c>
      <c r="N119">
        <v>100000000000</v>
      </c>
      <c r="O119">
        <v>0.36425120101175101</v>
      </c>
      <c r="P119">
        <v>0.1849691480634495</v>
      </c>
      <c r="Q119">
        <v>0.1248174692531656</v>
      </c>
      <c r="R119" t="s">
        <v>262</v>
      </c>
      <c r="S119" t="s">
        <v>263</v>
      </c>
      <c r="T119">
        <v>1.289935148733321</v>
      </c>
      <c r="U119">
        <v>225.28132198753161</v>
      </c>
      <c r="V119">
        <v>200.14703492910931</v>
      </c>
    </row>
    <row r="120" spans="1:22" hidden="1" x14ac:dyDescent="0.2">
      <c r="A120" t="s">
        <v>180</v>
      </c>
      <c r="B120" t="s">
        <v>30</v>
      </c>
      <c r="C120">
        <v>2.8</v>
      </c>
      <c r="D120">
        <v>60</v>
      </c>
      <c r="E120">
        <v>7.0587171652458247</v>
      </c>
      <c r="F120">
        <v>6.3727403889795227</v>
      </c>
      <c r="G120">
        <v>1638.902398509556</v>
      </c>
      <c r="H120">
        <v>0</v>
      </c>
      <c r="I120">
        <v>0.7</v>
      </c>
      <c r="J120" t="b">
        <v>1</v>
      </c>
      <c r="K120">
        <v>1E+18</v>
      </c>
      <c r="L120">
        <v>0.3</v>
      </c>
      <c r="M120" t="b">
        <v>1</v>
      </c>
      <c r="N120">
        <v>100000000000</v>
      </c>
      <c r="O120">
        <v>0.36425120101175101</v>
      </c>
      <c r="P120">
        <v>0.1849691480634495</v>
      </c>
      <c r="Q120">
        <v>0.1248174692531656</v>
      </c>
      <c r="R120" t="s">
        <v>264</v>
      </c>
      <c r="S120" t="s">
        <v>265</v>
      </c>
      <c r="T120">
        <v>1.289935148733321</v>
      </c>
      <c r="U120">
        <v>286.42099740353802</v>
      </c>
      <c r="V120">
        <v>200.14703492910931</v>
      </c>
    </row>
    <row r="121" spans="1:22" hidden="1" x14ac:dyDescent="0.2">
      <c r="A121" t="s">
        <v>180</v>
      </c>
      <c r="B121" t="s">
        <v>30</v>
      </c>
      <c r="C121">
        <v>2.8</v>
      </c>
      <c r="D121">
        <v>55</v>
      </c>
      <c r="E121">
        <v>7.0541080778990688</v>
      </c>
      <c r="F121">
        <v>6.3744050875771334</v>
      </c>
      <c r="G121">
        <v>1634.2689957847731</v>
      </c>
      <c r="H121">
        <v>0</v>
      </c>
      <c r="I121">
        <v>0.7</v>
      </c>
      <c r="J121" t="b">
        <v>1</v>
      </c>
      <c r="K121">
        <v>1E+19</v>
      </c>
      <c r="L121">
        <v>0.3</v>
      </c>
      <c r="M121" t="b">
        <v>1</v>
      </c>
      <c r="N121">
        <v>100000000000</v>
      </c>
      <c r="O121">
        <v>0.3645743267912756</v>
      </c>
      <c r="P121">
        <v>0.1843944202819966</v>
      </c>
      <c r="Q121">
        <v>0.1244629473627534</v>
      </c>
      <c r="R121" t="s">
        <v>266</v>
      </c>
      <c r="S121" t="s">
        <v>267</v>
      </c>
      <c r="T121">
        <v>1.289935148733321</v>
      </c>
      <c r="U121">
        <v>225.22047137889001</v>
      </c>
      <c r="V121">
        <v>200.2292852575888</v>
      </c>
    </row>
    <row r="122" spans="1:22" hidden="1" x14ac:dyDescent="0.2">
      <c r="A122" t="s">
        <v>180</v>
      </c>
      <c r="B122" t="s">
        <v>30</v>
      </c>
      <c r="C122">
        <v>2.8</v>
      </c>
      <c r="D122">
        <v>55</v>
      </c>
      <c r="E122">
        <v>7.0541080778990688</v>
      </c>
      <c r="F122">
        <v>6.3744050875771334</v>
      </c>
      <c r="G122">
        <v>1634.2689957847731</v>
      </c>
      <c r="H122">
        <v>0</v>
      </c>
      <c r="I122">
        <v>0.7</v>
      </c>
      <c r="J122" t="b">
        <v>1</v>
      </c>
      <c r="K122">
        <v>1E+18</v>
      </c>
      <c r="L122">
        <v>0.3</v>
      </c>
      <c r="M122" t="b">
        <v>1</v>
      </c>
      <c r="N122">
        <v>100000000000</v>
      </c>
      <c r="O122">
        <v>0.3645743267912756</v>
      </c>
      <c r="P122">
        <v>0.1843944202819966</v>
      </c>
      <c r="Q122">
        <v>0.1244629473627534</v>
      </c>
      <c r="R122" t="s">
        <v>268</v>
      </c>
      <c r="S122" t="s">
        <v>269</v>
      </c>
      <c r="T122">
        <v>1.289935148733321</v>
      </c>
      <c r="U122">
        <v>285.7621092091278</v>
      </c>
      <c r="V122">
        <v>200.2292852575888</v>
      </c>
    </row>
    <row r="123" spans="1:22" hidden="1" x14ac:dyDescent="0.2">
      <c r="A123" t="s">
        <v>180</v>
      </c>
      <c r="B123" t="s">
        <v>30</v>
      </c>
      <c r="C123">
        <v>2.9</v>
      </c>
      <c r="D123">
        <v>70</v>
      </c>
      <c r="E123">
        <v>7.0566413063241828</v>
      </c>
      <c r="F123">
        <v>6.3734188033669943</v>
      </c>
      <c r="G123">
        <v>1636.8724818325779</v>
      </c>
      <c r="H123">
        <v>0</v>
      </c>
      <c r="I123">
        <v>0.7</v>
      </c>
      <c r="J123" t="b">
        <v>1</v>
      </c>
      <c r="K123">
        <v>1E+19</v>
      </c>
      <c r="L123">
        <v>0.3</v>
      </c>
      <c r="M123" t="b">
        <v>1</v>
      </c>
      <c r="N123">
        <v>100000000000</v>
      </c>
      <c r="O123">
        <v>0.3644126895505384</v>
      </c>
      <c r="P123">
        <v>0.18471980787203679</v>
      </c>
      <c r="Q123">
        <v>0.1246953416106527</v>
      </c>
      <c r="R123" t="s">
        <v>270</v>
      </c>
      <c r="S123" t="s">
        <v>271</v>
      </c>
      <c r="T123">
        <v>1.289935148733321</v>
      </c>
      <c r="U123">
        <v>225.16753940123439</v>
      </c>
      <c r="V123">
        <v>200.18905304836241</v>
      </c>
    </row>
    <row r="124" spans="1:22" hidden="1" x14ac:dyDescent="0.2">
      <c r="A124" t="s">
        <v>180</v>
      </c>
      <c r="B124" t="s">
        <v>30</v>
      </c>
      <c r="C124">
        <v>2.9</v>
      </c>
      <c r="D124">
        <v>70</v>
      </c>
      <c r="E124">
        <v>7.0566413063241828</v>
      </c>
      <c r="F124">
        <v>6.3734188033669943</v>
      </c>
      <c r="G124">
        <v>1636.8724818325779</v>
      </c>
      <c r="H124">
        <v>0</v>
      </c>
      <c r="I124">
        <v>0.7</v>
      </c>
      <c r="J124" t="b">
        <v>1</v>
      </c>
      <c r="K124">
        <v>1E+18</v>
      </c>
      <c r="L124">
        <v>0.3</v>
      </c>
      <c r="M124" t="b">
        <v>1</v>
      </c>
      <c r="N124">
        <v>100000000000</v>
      </c>
      <c r="O124">
        <v>0.3644126895505384</v>
      </c>
      <c r="P124">
        <v>0.18471980787203679</v>
      </c>
      <c r="Q124">
        <v>0.1246953416106527</v>
      </c>
      <c r="R124" t="s">
        <v>272</v>
      </c>
      <c r="S124" t="s">
        <v>273</v>
      </c>
      <c r="T124">
        <v>1.289935148733321</v>
      </c>
      <c r="U124">
        <v>287.01564089523509</v>
      </c>
      <c r="V124">
        <v>200.18905304836241</v>
      </c>
    </row>
    <row r="125" spans="1:22" hidden="1" x14ac:dyDescent="0.2">
      <c r="A125" t="s">
        <v>180</v>
      </c>
      <c r="B125" t="s">
        <v>30</v>
      </c>
      <c r="C125">
        <v>2.7</v>
      </c>
      <c r="D125">
        <v>55</v>
      </c>
      <c r="E125">
        <v>7.2262365759852258</v>
      </c>
      <c r="F125">
        <v>6.5498121015012343</v>
      </c>
      <c r="G125">
        <v>1607.769860604157</v>
      </c>
      <c r="H125">
        <v>0</v>
      </c>
      <c r="I125">
        <v>0.6</v>
      </c>
      <c r="J125" t="b">
        <v>1</v>
      </c>
      <c r="K125">
        <v>1E+18</v>
      </c>
      <c r="L125">
        <v>0.3</v>
      </c>
      <c r="M125" t="b">
        <v>1</v>
      </c>
      <c r="N125">
        <v>100000000000</v>
      </c>
      <c r="O125">
        <v>0.363667735542477</v>
      </c>
      <c r="P125">
        <v>0.18228170675422209</v>
      </c>
      <c r="Q125">
        <v>0.1208195848111719</v>
      </c>
      <c r="R125" t="s">
        <v>274</v>
      </c>
      <c r="S125" t="s">
        <v>275</v>
      </c>
      <c r="T125">
        <v>1.289935148733321</v>
      </c>
      <c r="U125">
        <v>284.31899718817618</v>
      </c>
      <c r="V125">
        <v>200.14812173916749</v>
      </c>
    </row>
    <row r="126" spans="1:22" hidden="1" x14ac:dyDescent="0.2">
      <c r="A126" t="s">
        <v>180</v>
      </c>
      <c r="B126" t="s">
        <v>30</v>
      </c>
      <c r="C126">
        <v>2.7</v>
      </c>
      <c r="D126">
        <v>50</v>
      </c>
      <c r="E126">
        <v>7.2268693806940032</v>
      </c>
      <c r="F126">
        <v>6.5517707385413591</v>
      </c>
      <c r="G126">
        <v>1602.1487073547819</v>
      </c>
      <c r="H126">
        <v>0</v>
      </c>
      <c r="I126">
        <v>0.6</v>
      </c>
      <c r="J126" t="b">
        <v>1</v>
      </c>
      <c r="K126">
        <v>1E+18</v>
      </c>
      <c r="L126">
        <v>0.3</v>
      </c>
      <c r="M126" t="b">
        <v>1</v>
      </c>
      <c r="N126">
        <v>100000000000</v>
      </c>
      <c r="O126">
        <v>0.36404580066949932</v>
      </c>
      <c r="P126">
        <v>0.18165000670430609</v>
      </c>
      <c r="Q126">
        <v>0.120376512217149</v>
      </c>
      <c r="R126" t="s">
        <v>276</v>
      </c>
      <c r="S126" t="s">
        <v>277</v>
      </c>
      <c r="T126">
        <v>1.289935148733321</v>
      </c>
      <c r="U126">
        <v>279.01469234516742</v>
      </c>
      <c r="V126">
        <v>200.23663757457371</v>
      </c>
    </row>
    <row r="127" spans="1:22" hidden="1" x14ac:dyDescent="0.2">
      <c r="A127" t="s">
        <v>180</v>
      </c>
      <c r="B127" t="s">
        <v>30</v>
      </c>
      <c r="C127">
        <v>2.7</v>
      </c>
      <c r="D127">
        <v>45</v>
      </c>
      <c r="E127">
        <v>7.2213138376479256</v>
      </c>
      <c r="F127">
        <v>6.5535203442905869</v>
      </c>
      <c r="G127">
        <v>1596.837825554398</v>
      </c>
      <c r="H127">
        <v>0</v>
      </c>
      <c r="I127">
        <v>0.6</v>
      </c>
      <c r="J127" t="b">
        <v>1</v>
      </c>
      <c r="K127">
        <v>1E+18</v>
      </c>
      <c r="L127">
        <v>0.3</v>
      </c>
      <c r="M127" t="b">
        <v>1</v>
      </c>
      <c r="N127">
        <v>100000000000</v>
      </c>
      <c r="O127">
        <v>0.36443294536578058</v>
      </c>
      <c r="P127">
        <v>0.180993917633616</v>
      </c>
      <c r="Q127">
        <v>0.11997247902871511</v>
      </c>
      <c r="R127" t="s">
        <v>278</v>
      </c>
      <c r="S127" t="s">
        <v>279</v>
      </c>
      <c r="T127">
        <v>1.289935148733321</v>
      </c>
      <c r="U127">
        <v>270.54426216127331</v>
      </c>
      <c r="V127">
        <v>200.32084645429171</v>
      </c>
    </row>
    <row r="128" spans="1:22" hidden="1" x14ac:dyDescent="0.2">
      <c r="A128" t="s">
        <v>180</v>
      </c>
      <c r="B128" t="s">
        <v>30</v>
      </c>
      <c r="C128">
        <v>2.8</v>
      </c>
      <c r="D128">
        <v>65</v>
      </c>
      <c r="E128">
        <v>7.2265425934350684</v>
      </c>
      <c r="F128">
        <v>6.5496514852125083</v>
      </c>
      <c r="G128">
        <v>1608.108535025613</v>
      </c>
      <c r="H128">
        <v>0</v>
      </c>
      <c r="I128">
        <v>0.6</v>
      </c>
      <c r="J128" t="b">
        <v>1</v>
      </c>
      <c r="K128">
        <v>1E+18</v>
      </c>
      <c r="L128">
        <v>0.3</v>
      </c>
      <c r="M128" t="b">
        <v>1</v>
      </c>
      <c r="N128">
        <v>100000000000</v>
      </c>
      <c r="O128">
        <v>0.36366076354011512</v>
      </c>
      <c r="P128">
        <v>0.18232584293351831</v>
      </c>
      <c r="Q128">
        <v>0.12088119089717431</v>
      </c>
      <c r="R128" t="s">
        <v>280</v>
      </c>
      <c r="S128" t="s">
        <v>281</v>
      </c>
      <c r="T128">
        <v>1.289935148733321</v>
      </c>
      <c r="U128">
        <v>279.43512983679352</v>
      </c>
      <c r="V128">
        <v>200.14874141470071</v>
      </c>
    </row>
    <row r="129" spans="1:26" hidden="1" x14ac:dyDescent="0.2">
      <c r="A129" t="s">
        <v>180</v>
      </c>
      <c r="B129" t="s">
        <v>30</v>
      </c>
      <c r="C129">
        <v>2.8</v>
      </c>
      <c r="D129">
        <v>60</v>
      </c>
      <c r="E129">
        <v>7.2279782399347932</v>
      </c>
      <c r="F129">
        <v>6.5513571266027117</v>
      </c>
      <c r="G129">
        <v>1603.270325088145</v>
      </c>
      <c r="H129">
        <v>0</v>
      </c>
      <c r="I129">
        <v>0.6</v>
      </c>
      <c r="J129" t="b">
        <v>1</v>
      </c>
      <c r="K129">
        <v>1E+18</v>
      </c>
      <c r="L129">
        <v>0.3</v>
      </c>
      <c r="M129" t="b">
        <v>1</v>
      </c>
      <c r="N129">
        <v>100000000000</v>
      </c>
      <c r="O129">
        <v>0.36397926783701728</v>
      </c>
      <c r="P129">
        <v>0.18179028153071389</v>
      </c>
      <c r="Q129">
        <v>0.1204839695666677</v>
      </c>
      <c r="R129" t="s">
        <v>282</v>
      </c>
      <c r="S129" t="s">
        <v>283</v>
      </c>
      <c r="T129">
        <v>1.289935148733321</v>
      </c>
      <c r="U129">
        <v>279.04065914126448</v>
      </c>
      <c r="V129">
        <v>200.22243376841831</v>
      </c>
    </row>
    <row r="130" spans="1:26" hidden="1" x14ac:dyDescent="0.2">
      <c r="A130" t="s">
        <v>180</v>
      </c>
      <c r="B130" t="s">
        <v>30</v>
      </c>
      <c r="C130">
        <v>2.8</v>
      </c>
      <c r="D130">
        <v>55</v>
      </c>
      <c r="E130">
        <v>7.2233997070768714</v>
      </c>
      <c r="F130">
        <v>6.5528633127239218</v>
      </c>
      <c r="G130">
        <v>1598.744062424711</v>
      </c>
      <c r="H130">
        <v>0</v>
      </c>
      <c r="I130">
        <v>0.6</v>
      </c>
      <c r="J130" t="b">
        <v>1</v>
      </c>
      <c r="K130">
        <v>1E+18</v>
      </c>
      <c r="L130">
        <v>0.3</v>
      </c>
      <c r="M130" t="b">
        <v>1</v>
      </c>
      <c r="N130">
        <v>100000000000</v>
      </c>
      <c r="O130">
        <v>0.3643061353124683</v>
      </c>
      <c r="P130">
        <v>0.18123214885514469</v>
      </c>
      <c r="Q130">
        <v>0.1201371038349666</v>
      </c>
      <c r="R130" t="s">
        <v>284</v>
      </c>
      <c r="S130" t="s">
        <v>285</v>
      </c>
      <c r="T130">
        <v>1.289935148733321</v>
      </c>
      <c r="U130">
        <v>280.33759139238498</v>
      </c>
      <c r="V130">
        <v>200.29425535172899</v>
      </c>
    </row>
    <row r="131" spans="1:26" hidden="1" x14ac:dyDescent="0.2">
      <c r="A131" t="s">
        <v>180</v>
      </c>
      <c r="B131" t="s">
        <v>30</v>
      </c>
      <c r="C131">
        <v>2.9</v>
      </c>
      <c r="D131">
        <v>70</v>
      </c>
      <c r="E131">
        <v>7.2259222351847452</v>
      </c>
      <c r="F131">
        <v>6.5519679341902393</v>
      </c>
      <c r="G131">
        <v>1601.2865338552849</v>
      </c>
      <c r="H131">
        <v>0</v>
      </c>
      <c r="I131">
        <v>0.6</v>
      </c>
      <c r="J131" t="b">
        <v>1</v>
      </c>
      <c r="K131">
        <v>1E+18</v>
      </c>
      <c r="L131">
        <v>0.3</v>
      </c>
      <c r="M131" t="b">
        <v>1</v>
      </c>
      <c r="N131">
        <v>100000000000</v>
      </c>
      <c r="O131">
        <v>0.36414239422032091</v>
      </c>
      <c r="P131">
        <v>0.181548134976111</v>
      </c>
      <c r="Q131">
        <v>0.1203637541104228</v>
      </c>
      <c r="R131" t="s">
        <v>286</v>
      </c>
      <c r="S131" t="s">
        <v>287</v>
      </c>
      <c r="T131">
        <v>1.289935148733321</v>
      </c>
      <c r="U131">
        <v>278.6089979610087</v>
      </c>
      <c r="V131">
        <v>200.25961258505231</v>
      </c>
    </row>
    <row r="132" spans="1:26" hidden="1" x14ac:dyDescent="0.2">
      <c r="A132" t="s">
        <v>180</v>
      </c>
      <c r="B132" t="s">
        <v>30</v>
      </c>
      <c r="C132">
        <v>2.9</v>
      </c>
      <c r="D132">
        <v>65</v>
      </c>
      <c r="E132">
        <v>7.2221380947468301</v>
      </c>
      <c r="F132">
        <v>6.5532187040388354</v>
      </c>
      <c r="G132">
        <v>1597.528497880402</v>
      </c>
      <c r="H132">
        <v>0</v>
      </c>
      <c r="I132">
        <v>0.6</v>
      </c>
      <c r="J132" t="b">
        <v>1</v>
      </c>
      <c r="K132">
        <v>1E+18</v>
      </c>
      <c r="L132">
        <v>0.3</v>
      </c>
      <c r="M132" t="b">
        <v>1</v>
      </c>
      <c r="N132">
        <v>100000000000</v>
      </c>
      <c r="O132">
        <v>0.36441108822089219</v>
      </c>
      <c r="P132">
        <v>0.18108460287251449</v>
      </c>
      <c r="Q132">
        <v>0.12007108446602489</v>
      </c>
      <c r="R132" t="s">
        <v>288</v>
      </c>
      <c r="S132" t="s">
        <v>289</v>
      </c>
      <c r="T132">
        <v>1.289935148733321</v>
      </c>
      <c r="U132">
        <v>278.61232229540462</v>
      </c>
      <c r="V132">
        <v>200.31799587289851</v>
      </c>
    </row>
    <row r="133" spans="1:26" hidden="1" x14ac:dyDescent="0.2">
      <c r="A133" t="s">
        <v>180</v>
      </c>
      <c r="B133" t="s">
        <v>30</v>
      </c>
      <c r="C133">
        <v>2.7</v>
      </c>
      <c r="D133">
        <v>50</v>
      </c>
      <c r="E133">
        <v>7.4156728610062066</v>
      </c>
      <c r="F133">
        <v>6.7533975577500787</v>
      </c>
      <c r="G133">
        <v>1565.3333853399049</v>
      </c>
      <c r="H133">
        <v>0</v>
      </c>
      <c r="I133">
        <v>0.5</v>
      </c>
      <c r="J133" t="b">
        <v>1</v>
      </c>
      <c r="K133">
        <v>1E+18</v>
      </c>
      <c r="L133">
        <v>0.3</v>
      </c>
      <c r="M133" t="b">
        <v>1</v>
      </c>
      <c r="N133">
        <v>100000000000</v>
      </c>
      <c r="O133">
        <v>0.3637732287738964</v>
      </c>
      <c r="P133">
        <v>0.1778978012451464</v>
      </c>
      <c r="Q133">
        <v>0.1161350438300788</v>
      </c>
      <c r="R133" t="s">
        <v>290</v>
      </c>
      <c r="S133" t="s">
        <v>291</v>
      </c>
      <c r="T133">
        <v>1.289935148733321</v>
      </c>
      <c r="U133">
        <v>273.29091904856512</v>
      </c>
      <c r="V133">
        <v>200.29133936931569</v>
      </c>
    </row>
    <row r="134" spans="1:26" hidden="1" x14ac:dyDescent="0.2">
      <c r="A134" t="s">
        <v>180</v>
      </c>
      <c r="B134" t="s">
        <v>30</v>
      </c>
      <c r="C134">
        <v>2.8</v>
      </c>
      <c r="D134">
        <v>60</v>
      </c>
      <c r="E134">
        <v>7.4168599687070431</v>
      </c>
      <c r="F134">
        <v>6.753026261096239</v>
      </c>
      <c r="G134">
        <v>1566.425219850436</v>
      </c>
      <c r="H134">
        <v>0</v>
      </c>
      <c r="I134">
        <v>0.5</v>
      </c>
      <c r="J134" t="b">
        <v>1</v>
      </c>
      <c r="K134">
        <v>1E+18</v>
      </c>
      <c r="L134">
        <v>0.3</v>
      </c>
      <c r="M134" t="b">
        <v>1</v>
      </c>
      <c r="N134">
        <v>100000000000</v>
      </c>
      <c r="O134">
        <v>0.3637056678499187</v>
      </c>
      <c r="P134">
        <v>0.1780341541238171</v>
      </c>
      <c r="Q134">
        <v>0.1162293327137216</v>
      </c>
      <c r="R134" t="s">
        <v>292</v>
      </c>
      <c r="S134" t="s">
        <v>293</v>
      </c>
      <c r="T134">
        <v>1.289935148733321</v>
      </c>
      <c r="U134">
        <v>273.20448361147351</v>
      </c>
      <c r="V134">
        <v>200.27772066354419</v>
      </c>
    </row>
    <row r="135" spans="1:26" hidden="1" x14ac:dyDescent="0.2">
      <c r="A135" t="s">
        <v>180</v>
      </c>
      <c r="B135" t="s">
        <v>30</v>
      </c>
      <c r="C135">
        <v>2.8</v>
      </c>
      <c r="D135">
        <v>55</v>
      </c>
      <c r="E135">
        <v>7.4119712918036198</v>
      </c>
      <c r="F135">
        <v>6.7543667572545489</v>
      </c>
      <c r="G135">
        <v>1562.0180601706029</v>
      </c>
      <c r="H135">
        <v>0</v>
      </c>
      <c r="I135">
        <v>0.5</v>
      </c>
      <c r="J135" t="b">
        <v>1</v>
      </c>
      <c r="K135">
        <v>1E+18</v>
      </c>
      <c r="L135">
        <v>0.3</v>
      </c>
      <c r="M135" t="b">
        <v>1</v>
      </c>
      <c r="N135">
        <v>100000000000</v>
      </c>
      <c r="O135">
        <v>0.36403665875351848</v>
      </c>
      <c r="P135">
        <v>0.17749153945981519</v>
      </c>
      <c r="Q135">
        <v>0.115923509487416</v>
      </c>
      <c r="R135" t="s">
        <v>294</v>
      </c>
      <c r="S135" t="s">
        <v>295</v>
      </c>
      <c r="T135">
        <v>1.289935148733321</v>
      </c>
      <c r="U135">
        <v>274.12974979836508</v>
      </c>
      <c r="V135">
        <v>200.34511858578219</v>
      </c>
    </row>
    <row r="136" spans="1:26" hidden="1" x14ac:dyDescent="0.2">
      <c r="A136" t="s">
        <v>180</v>
      </c>
      <c r="B136" t="s">
        <v>30</v>
      </c>
      <c r="C136">
        <v>2.9</v>
      </c>
      <c r="D136">
        <v>70</v>
      </c>
      <c r="E136">
        <v>7.4146809342911997</v>
      </c>
      <c r="F136">
        <v>6.7535669009840058</v>
      </c>
      <c r="G136">
        <v>1564.492728008772</v>
      </c>
      <c r="H136">
        <v>0</v>
      </c>
      <c r="I136">
        <v>0.5</v>
      </c>
      <c r="J136" t="b">
        <v>1</v>
      </c>
      <c r="K136">
        <v>1E+18</v>
      </c>
      <c r="L136">
        <v>0.3</v>
      </c>
      <c r="M136" t="b">
        <v>1</v>
      </c>
      <c r="N136">
        <v>100000000000</v>
      </c>
      <c r="O136">
        <v>0.3638705937137397</v>
      </c>
      <c r="P136">
        <v>0.17779878401826929</v>
      </c>
      <c r="Q136">
        <v>0.1161240433877688</v>
      </c>
      <c r="R136" t="s">
        <v>296</v>
      </c>
      <c r="S136" t="s">
        <v>297</v>
      </c>
      <c r="T136">
        <v>1.289935148733321</v>
      </c>
      <c r="U136">
        <v>271.07315203611279</v>
      </c>
      <c r="V136">
        <v>200.31241661799331</v>
      </c>
    </row>
    <row r="137" spans="1:26" x14ac:dyDescent="0.2">
      <c r="A137" t="s">
        <v>180</v>
      </c>
      <c r="B137" t="s">
        <v>61</v>
      </c>
      <c r="C137">
        <v>2.7</v>
      </c>
      <c r="D137">
        <v>60</v>
      </c>
      <c r="E137">
        <v>6.7420452446537427</v>
      </c>
      <c r="F137">
        <v>6.0157255206206823</v>
      </c>
      <c r="G137">
        <v>1743.0983802017749</v>
      </c>
      <c r="H137">
        <v>0</v>
      </c>
      <c r="I137">
        <v>0.9</v>
      </c>
      <c r="J137" t="b">
        <v>1</v>
      </c>
      <c r="K137">
        <v>1E+21</v>
      </c>
      <c r="L137">
        <v>0.3</v>
      </c>
      <c r="M137" t="b">
        <v>1</v>
      </c>
      <c r="N137">
        <v>100000000000</v>
      </c>
      <c r="O137">
        <v>0.36365945094632479</v>
      </c>
      <c r="P137">
        <v>0.19375334558280699</v>
      </c>
      <c r="Q137">
        <v>0.13987709827769329</v>
      </c>
      <c r="R137" t="s">
        <v>298</v>
      </c>
      <c r="S137" t="s">
        <v>299</v>
      </c>
      <c r="T137">
        <v>1.289935148733321</v>
      </c>
      <c r="U137">
        <v>211.00961746924929</v>
      </c>
      <c r="V137">
        <v>199.76569110443009</v>
      </c>
      <c r="W137">
        <f t="shared" ref="W137:W145" si="4">VALUE(","&amp;MID(R137,4,10))</f>
        <v>0.18176155299999999</v>
      </c>
      <c r="X137">
        <f t="shared" ref="X137:X145" si="5">((O137-0.364)/0.0012)^2+((W137-0.174)/0.016)^2</f>
        <v>0.31585642251770796</v>
      </c>
      <c r="Y137">
        <f t="shared" ref="Y137:Y145" si="6">((O137-O$8)/0.0012)^2+((W137-W$8)/0.016)^2</f>
        <v>0.99889322382534806</v>
      </c>
      <c r="Z137" s="5">
        <f t="shared" ref="Z137:Z145" si="7">Y137*100</f>
        <v>99.8893223825348</v>
      </c>
    </row>
    <row r="138" spans="1:26" x14ac:dyDescent="0.2">
      <c r="A138" t="s">
        <v>180</v>
      </c>
      <c r="B138" t="s">
        <v>61</v>
      </c>
      <c r="C138">
        <v>2.7</v>
      </c>
      <c r="D138">
        <v>55</v>
      </c>
      <c r="E138">
        <v>6.7377650481805089</v>
      </c>
      <c r="F138">
        <v>6.0180572575962197</v>
      </c>
      <c r="G138">
        <v>1737.5896282017759</v>
      </c>
      <c r="H138">
        <v>0</v>
      </c>
      <c r="I138">
        <v>0.9</v>
      </c>
      <c r="J138" t="b">
        <v>1</v>
      </c>
      <c r="K138">
        <v>1E+21</v>
      </c>
      <c r="L138">
        <v>0.3</v>
      </c>
      <c r="M138" t="b">
        <v>1</v>
      </c>
      <c r="N138">
        <v>100000000000</v>
      </c>
      <c r="O138">
        <v>0.36401649992076918</v>
      </c>
      <c r="P138">
        <v>0.19306863885581699</v>
      </c>
      <c r="Q138">
        <v>0.1392856494153549</v>
      </c>
      <c r="R138" t="s">
        <v>300</v>
      </c>
      <c r="S138" t="s">
        <v>301</v>
      </c>
      <c r="T138">
        <v>1.289935148733321</v>
      </c>
      <c r="U138">
        <v>211.02433725688161</v>
      </c>
      <c r="V138">
        <v>199.87099748383091</v>
      </c>
      <c r="W138">
        <f t="shared" si="4"/>
        <v>0.180809213</v>
      </c>
      <c r="X138">
        <f t="shared" si="5"/>
        <v>0.18130383286933383</v>
      </c>
      <c r="Y138">
        <f t="shared" si="6"/>
        <v>0.6832576298900207</v>
      </c>
      <c r="Z138" s="5">
        <f t="shared" si="7"/>
        <v>68.325762989002072</v>
      </c>
    </row>
    <row r="139" spans="1:26" x14ac:dyDescent="0.2">
      <c r="A139" t="s">
        <v>180</v>
      </c>
      <c r="B139" t="s">
        <v>61</v>
      </c>
      <c r="C139">
        <v>2.7</v>
      </c>
      <c r="D139">
        <v>50</v>
      </c>
      <c r="E139">
        <v>6.7383433576867571</v>
      </c>
      <c r="F139">
        <v>6.0205631206516879</v>
      </c>
      <c r="G139">
        <v>1731.7418842017771</v>
      </c>
      <c r="H139">
        <v>0</v>
      </c>
      <c r="I139">
        <v>0.9</v>
      </c>
      <c r="J139" t="b">
        <v>1</v>
      </c>
      <c r="K139">
        <v>1E+21</v>
      </c>
      <c r="L139">
        <v>0.3</v>
      </c>
      <c r="M139" t="b">
        <v>1</v>
      </c>
      <c r="N139">
        <v>100000000000</v>
      </c>
      <c r="O139">
        <v>0.36436988069886111</v>
      </c>
      <c r="P139">
        <v>0.19238942912734261</v>
      </c>
      <c r="Q139">
        <v>0.1386500546088858</v>
      </c>
      <c r="R139" t="s">
        <v>302</v>
      </c>
      <c r="S139" t="s">
        <v>303</v>
      </c>
      <c r="T139">
        <v>1.289935148733321</v>
      </c>
      <c r="U139">
        <v>211.03481019483411</v>
      </c>
      <c r="V139">
        <v>199.97829019868641</v>
      </c>
      <c r="W139">
        <f t="shared" si="4"/>
        <v>0.1797909352</v>
      </c>
      <c r="X139">
        <f t="shared" si="5"/>
        <v>0.22600396902751008</v>
      </c>
      <c r="Y139">
        <f t="shared" si="6"/>
        <v>0.54521146598066017</v>
      </c>
      <c r="Z139" s="5">
        <f t="shared" si="7"/>
        <v>54.521146598066018</v>
      </c>
    </row>
    <row r="140" spans="1:26" x14ac:dyDescent="0.2">
      <c r="A140" t="s">
        <v>180</v>
      </c>
      <c r="B140" t="s">
        <v>61</v>
      </c>
      <c r="C140">
        <v>2.8</v>
      </c>
      <c r="D140">
        <v>70</v>
      </c>
      <c r="E140">
        <v>6.7385749606139882</v>
      </c>
      <c r="F140">
        <v>6.0158530400746049</v>
      </c>
      <c r="G140">
        <v>1742.590156201773</v>
      </c>
      <c r="H140">
        <v>0</v>
      </c>
      <c r="I140">
        <v>0.9</v>
      </c>
      <c r="J140" t="b">
        <v>1</v>
      </c>
      <c r="K140">
        <v>1E+21</v>
      </c>
      <c r="L140">
        <v>0.3</v>
      </c>
      <c r="M140" t="b">
        <v>1</v>
      </c>
      <c r="N140">
        <v>100000000000</v>
      </c>
      <c r="O140">
        <v>0.3637282258835744</v>
      </c>
      <c r="P140">
        <v>0.19366598469539589</v>
      </c>
      <c r="Q140">
        <v>0.13986234411208501</v>
      </c>
      <c r="R140" t="s">
        <v>304</v>
      </c>
      <c r="S140" t="s">
        <v>305</v>
      </c>
      <c r="T140">
        <v>1.289935148733321</v>
      </c>
      <c r="U140">
        <v>211.0136887773057</v>
      </c>
      <c r="V140">
        <v>199.7826960653482</v>
      </c>
      <c r="W140">
        <f t="shared" si="4"/>
        <v>0.18173076739999999</v>
      </c>
      <c r="X140">
        <f t="shared" si="5"/>
        <v>0.28474859110693795</v>
      </c>
      <c r="Y140">
        <f t="shared" si="6"/>
        <v>0.94000881064383135</v>
      </c>
      <c r="Z140" s="5">
        <f t="shared" si="7"/>
        <v>94.000881064383137</v>
      </c>
    </row>
    <row r="141" spans="1:26" x14ac:dyDescent="0.2">
      <c r="A141" t="s">
        <v>180</v>
      </c>
      <c r="B141" t="s">
        <v>61</v>
      </c>
      <c r="C141">
        <v>2.8</v>
      </c>
      <c r="D141">
        <v>65</v>
      </c>
      <c r="E141">
        <v>6.7373088011215403</v>
      </c>
      <c r="F141">
        <v>6.0179318234534991</v>
      </c>
      <c r="G141">
        <v>1737.7593882017741</v>
      </c>
      <c r="H141">
        <v>0</v>
      </c>
      <c r="I141">
        <v>0.9</v>
      </c>
      <c r="J141" t="b">
        <v>1</v>
      </c>
      <c r="K141">
        <v>1E+21</v>
      </c>
      <c r="L141">
        <v>0.3</v>
      </c>
      <c r="M141" t="b">
        <v>1</v>
      </c>
      <c r="N141">
        <v>100000000000</v>
      </c>
      <c r="O141">
        <v>0.36402602804180823</v>
      </c>
      <c r="P141">
        <v>0.19308733891878929</v>
      </c>
      <c r="Q141">
        <v>0.13933414631949481</v>
      </c>
      <c r="R141" t="s">
        <v>306</v>
      </c>
      <c r="S141" t="s">
        <v>307</v>
      </c>
      <c r="T141">
        <v>1.289935148733321</v>
      </c>
      <c r="U141">
        <v>211.02433553562199</v>
      </c>
      <c r="V141">
        <v>199.87317496742389</v>
      </c>
      <c r="W141">
        <f t="shared" si="4"/>
        <v>0.18088327670000001</v>
      </c>
      <c r="X141">
        <f t="shared" si="5"/>
        <v>0.18554662217685022</v>
      </c>
      <c r="Y141">
        <f t="shared" si="6"/>
        <v>0.68729722725424136</v>
      </c>
      <c r="Z141" s="5">
        <f t="shared" si="7"/>
        <v>68.729722725424139</v>
      </c>
    </row>
    <row r="142" spans="1:26" x14ac:dyDescent="0.2">
      <c r="A142" t="s">
        <v>180</v>
      </c>
      <c r="B142" t="s">
        <v>61</v>
      </c>
      <c r="C142">
        <v>2.8</v>
      </c>
      <c r="D142">
        <v>60</v>
      </c>
      <c r="E142">
        <v>6.7356297062647643</v>
      </c>
      <c r="F142">
        <v>6.0199884269106949</v>
      </c>
      <c r="G142">
        <v>1732.9286202017761</v>
      </c>
      <c r="H142">
        <v>0</v>
      </c>
      <c r="I142">
        <v>0.9</v>
      </c>
      <c r="J142" t="b">
        <v>1</v>
      </c>
      <c r="K142">
        <v>1E+21</v>
      </c>
      <c r="L142">
        <v>0.3</v>
      </c>
      <c r="M142" t="b">
        <v>1</v>
      </c>
      <c r="N142">
        <v>100000000000</v>
      </c>
      <c r="O142">
        <v>0.36432628650344151</v>
      </c>
      <c r="P142">
        <v>0.19250612133981129</v>
      </c>
      <c r="Q142">
        <v>0.13881144983382909</v>
      </c>
      <c r="R142" t="s">
        <v>308</v>
      </c>
      <c r="S142" t="s">
        <v>309</v>
      </c>
      <c r="T142">
        <v>1.289935148733321</v>
      </c>
      <c r="U142">
        <v>211.03477627949479</v>
      </c>
      <c r="V142">
        <v>199.96258793209071</v>
      </c>
      <c r="W142">
        <f t="shared" si="4"/>
        <v>0.180044228</v>
      </c>
      <c r="X142">
        <f t="shared" si="5"/>
        <v>0.2166383857503498</v>
      </c>
      <c r="Y142">
        <f t="shared" si="6"/>
        <v>0.56433134289512732</v>
      </c>
      <c r="Z142" s="5">
        <f t="shared" si="7"/>
        <v>56.433134289512729</v>
      </c>
    </row>
    <row r="143" spans="1:26" x14ac:dyDescent="0.2">
      <c r="A143" t="s">
        <v>180</v>
      </c>
      <c r="B143" t="s">
        <v>61</v>
      </c>
      <c r="C143">
        <v>2.9</v>
      </c>
      <c r="D143">
        <v>72</v>
      </c>
      <c r="E143">
        <v>6.7353483036245319</v>
      </c>
      <c r="F143">
        <v>6.0202755715297416</v>
      </c>
      <c r="G143">
        <v>1732.1153562017739</v>
      </c>
      <c r="H143">
        <v>0</v>
      </c>
      <c r="I143">
        <v>0.9</v>
      </c>
      <c r="J143" t="b">
        <v>1</v>
      </c>
      <c r="K143">
        <v>1E+21</v>
      </c>
      <c r="L143">
        <v>0.3</v>
      </c>
      <c r="M143" t="b">
        <v>1</v>
      </c>
      <c r="N143">
        <v>100000000000</v>
      </c>
      <c r="O143">
        <v>0.36439770707337782</v>
      </c>
      <c r="P143">
        <v>0.19241182534336759</v>
      </c>
      <c r="Q143">
        <v>0.13876109768402389</v>
      </c>
      <c r="R143" t="s">
        <v>310</v>
      </c>
      <c r="S143" t="s">
        <v>311</v>
      </c>
      <c r="T143">
        <v>1.289935148733321</v>
      </c>
      <c r="U143">
        <v>211.03635185307439</v>
      </c>
      <c r="V143">
        <v>199.9840953578925</v>
      </c>
      <c r="W143">
        <f t="shared" si="4"/>
        <v>0.17995860050000001</v>
      </c>
      <c r="X143">
        <f t="shared" si="5"/>
        <v>0.24853200747005938</v>
      </c>
      <c r="Y143">
        <f t="shared" si="6"/>
        <v>0.56488294051180465</v>
      </c>
      <c r="Z143" s="5">
        <f t="shared" si="7"/>
        <v>56.488294051180468</v>
      </c>
    </row>
    <row r="144" spans="1:26" x14ac:dyDescent="0.2">
      <c r="A144" t="s">
        <v>180</v>
      </c>
      <c r="B144" t="s">
        <v>61</v>
      </c>
      <c r="C144">
        <v>2.9</v>
      </c>
      <c r="D144">
        <v>70</v>
      </c>
      <c r="E144">
        <v>6.7368435831373494</v>
      </c>
      <c r="F144">
        <v>6.0210307870311244</v>
      </c>
      <c r="G144">
        <v>1730.386444201775</v>
      </c>
      <c r="H144">
        <v>0</v>
      </c>
      <c r="I144">
        <v>0.9</v>
      </c>
      <c r="J144" t="b">
        <v>1</v>
      </c>
      <c r="K144">
        <v>1E+21</v>
      </c>
      <c r="L144">
        <v>0.3</v>
      </c>
      <c r="M144" t="b">
        <v>1</v>
      </c>
      <c r="N144">
        <v>100000000000</v>
      </c>
      <c r="O144">
        <v>0.36449361464538782</v>
      </c>
      <c r="P144">
        <v>0.1922229454882726</v>
      </c>
      <c r="Q144">
        <v>0.13856840537580101</v>
      </c>
      <c r="R144" t="s">
        <v>312</v>
      </c>
      <c r="S144" t="s">
        <v>313</v>
      </c>
      <c r="T144">
        <v>1.289935148733321</v>
      </c>
      <c r="U144">
        <v>211.03811085530231</v>
      </c>
      <c r="V144">
        <v>200.0144034030167</v>
      </c>
      <c r="W144">
        <f t="shared" si="4"/>
        <v>0.17965158389999999</v>
      </c>
      <c r="X144">
        <f t="shared" si="5"/>
        <v>0.29397234124775101</v>
      </c>
      <c r="Y144">
        <f t="shared" si="6"/>
        <v>0.55929935441165424</v>
      </c>
      <c r="Z144" s="5">
        <f t="shared" si="7"/>
        <v>55.929935441165426</v>
      </c>
    </row>
    <row r="145" spans="1:26" x14ac:dyDescent="0.2">
      <c r="A145" t="s">
        <v>180</v>
      </c>
      <c r="B145" t="s">
        <v>61</v>
      </c>
      <c r="C145">
        <v>2.7</v>
      </c>
      <c r="D145">
        <v>55</v>
      </c>
      <c r="E145">
        <v>6.8724264964566322</v>
      </c>
      <c r="F145">
        <v>6.1616544608708308</v>
      </c>
      <c r="G145">
        <v>1703.01244420178</v>
      </c>
      <c r="H145">
        <v>0</v>
      </c>
      <c r="I145">
        <v>0.8</v>
      </c>
      <c r="J145" t="b">
        <v>1</v>
      </c>
      <c r="K145">
        <v>1E+21</v>
      </c>
      <c r="L145">
        <v>0.3</v>
      </c>
      <c r="M145" t="b">
        <v>1</v>
      </c>
      <c r="N145">
        <v>100000000000</v>
      </c>
      <c r="O145">
        <v>0.36372888093829892</v>
      </c>
      <c r="P145">
        <v>0.19047271463838281</v>
      </c>
      <c r="Q145">
        <v>0.13421175729625959</v>
      </c>
      <c r="R145" t="s">
        <v>314</v>
      </c>
      <c r="S145" t="s">
        <v>315</v>
      </c>
      <c r="T145">
        <v>1.289935148733321</v>
      </c>
      <c r="U145">
        <v>210.39647616928269</v>
      </c>
      <c r="V145">
        <v>199.97793958273061</v>
      </c>
      <c r="W145">
        <f t="shared" si="4"/>
        <v>0.1732049246</v>
      </c>
      <c r="X145">
        <f t="shared" si="5"/>
        <v>5.3514833773194603E-2</v>
      </c>
      <c r="Y145">
        <f t="shared" si="6"/>
        <v>0.31177799215913915</v>
      </c>
      <c r="Z145" s="5">
        <f t="shared" si="7"/>
        <v>31.177799215913915</v>
      </c>
    </row>
    <row r="146" spans="1:26" hidden="1" x14ac:dyDescent="0.2">
      <c r="A146" t="s">
        <v>180</v>
      </c>
      <c r="B146" t="s">
        <v>61</v>
      </c>
      <c r="C146">
        <v>2.7</v>
      </c>
      <c r="D146">
        <v>55</v>
      </c>
      <c r="E146">
        <v>6.8724264964566322</v>
      </c>
      <c r="F146">
        <v>6.1616544608708308</v>
      </c>
      <c r="G146">
        <v>1703.01244420178</v>
      </c>
      <c r="H146">
        <v>0</v>
      </c>
      <c r="I146">
        <v>0.8</v>
      </c>
      <c r="J146" t="b">
        <v>1</v>
      </c>
      <c r="K146">
        <v>1E+20</v>
      </c>
      <c r="L146">
        <v>0.3</v>
      </c>
      <c r="M146" t="b">
        <v>1</v>
      </c>
      <c r="N146">
        <v>100000000000</v>
      </c>
      <c r="O146">
        <v>0.36372888093829892</v>
      </c>
      <c r="P146">
        <v>0.19047271463838281</v>
      </c>
      <c r="Q146">
        <v>0.13421175729625959</v>
      </c>
      <c r="R146" t="s">
        <v>316</v>
      </c>
      <c r="S146" t="s">
        <v>317</v>
      </c>
      <c r="T146">
        <v>1.289935148733321</v>
      </c>
      <c r="U146">
        <v>214.6976732590376</v>
      </c>
      <c r="V146">
        <v>199.97793958273061</v>
      </c>
    </row>
    <row r="147" spans="1:26" x14ac:dyDescent="0.2">
      <c r="A147" t="s">
        <v>180</v>
      </c>
      <c r="B147" t="s">
        <v>61</v>
      </c>
      <c r="C147">
        <v>2.7</v>
      </c>
      <c r="D147">
        <v>50</v>
      </c>
      <c r="E147">
        <v>6.8697513715500884</v>
      </c>
      <c r="F147">
        <v>6.1638489617504071</v>
      </c>
      <c r="G147">
        <v>1697.50369220178</v>
      </c>
      <c r="H147">
        <v>0</v>
      </c>
      <c r="I147">
        <v>0.8</v>
      </c>
      <c r="J147" t="b">
        <v>1</v>
      </c>
      <c r="K147">
        <v>1E+21</v>
      </c>
      <c r="L147">
        <v>0.3</v>
      </c>
      <c r="M147" t="b">
        <v>1</v>
      </c>
      <c r="N147">
        <v>100000000000</v>
      </c>
      <c r="O147">
        <v>0.36409098360645797</v>
      </c>
      <c r="P147">
        <v>0.1898073475423053</v>
      </c>
      <c r="Q147">
        <v>0.13367019122625551</v>
      </c>
      <c r="R147" t="s">
        <v>318</v>
      </c>
      <c r="S147" t="s">
        <v>319</v>
      </c>
      <c r="T147">
        <v>1.289935148733321</v>
      </c>
      <c r="U147">
        <v>210.41443596955909</v>
      </c>
      <c r="V147">
        <v>200.07742029086529</v>
      </c>
      <c r="W147">
        <f>VALUE(","&amp;MID(R147,4,10))</f>
        <v>0.1723300978</v>
      </c>
      <c r="X147">
        <f>((O147-0.364)/0.0012)^2+((W147-0.174)/0.016)^2</f>
        <v>1.6641487347502305E-2</v>
      </c>
      <c r="Y147">
        <f>((O147-O$8)/0.0012)^2+((W147-W$8)/0.016)^2</f>
        <v>9.5492883406910395E-2</v>
      </c>
      <c r="Z147" s="5">
        <f>Y147*100</f>
        <v>9.5492883406910387</v>
      </c>
    </row>
    <row r="148" spans="1:26" hidden="1" x14ac:dyDescent="0.2">
      <c r="A148" t="s">
        <v>180</v>
      </c>
      <c r="B148" t="s">
        <v>61</v>
      </c>
      <c r="C148">
        <v>2.7</v>
      </c>
      <c r="D148">
        <v>50</v>
      </c>
      <c r="E148">
        <v>6.8697513715500884</v>
      </c>
      <c r="F148">
        <v>6.1638489617504071</v>
      </c>
      <c r="G148">
        <v>1697.50369220178</v>
      </c>
      <c r="H148">
        <v>0</v>
      </c>
      <c r="I148">
        <v>0.8</v>
      </c>
      <c r="J148" t="b">
        <v>1</v>
      </c>
      <c r="K148">
        <v>1E+20</v>
      </c>
      <c r="L148">
        <v>0.3</v>
      </c>
      <c r="M148" t="b">
        <v>1</v>
      </c>
      <c r="N148">
        <v>100000000000</v>
      </c>
      <c r="O148">
        <v>0.36409098360645797</v>
      </c>
      <c r="P148">
        <v>0.1898073475423053</v>
      </c>
      <c r="Q148">
        <v>0.13367019122625551</v>
      </c>
      <c r="R148" t="s">
        <v>320</v>
      </c>
      <c r="S148" t="s">
        <v>321</v>
      </c>
      <c r="T148">
        <v>1.289935148733321</v>
      </c>
      <c r="U148">
        <v>214.69016189550149</v>
      </c>
      <c r="V148">
        <v>200.07742029086529</v>
      </c>
    </row>
    <row r="149" spans="1:26" x14ac:dyDescent="0.2">
      <c r="A149" t="s">
        <v>180</v>
      </c>
      <c r="B149" t="s">
        <v>61</v>
      </c>
      <c r="C149">
        <v>2.7</v>
      </c>
      <c r="D149">
        <v>45</v>
      </c>
      <c r="E149">
        <v>6.8664584492407332</v>
      </c>
      <c r="F149">
        <v>6.1660135339506894</v>
      </c>
      <c r="G149">
        <v>1691.9949402017819</v>
      </c>
      <c r="H149">
        <v>0</v>
      </c>
      <c r="I149">
        <v>0.8</v>
      </c>
      <c r="J149" t="b">
        <v>1</v>
      </c>
      <c r="K149">
        <v>1E+21</v>
      </c>
      <c r="L149">
        <v>0.3</v>
      </c>
      <c r="M149" t="b">
        <v>1</v>
      </c>
      <c r="N149">
        <v>100000000000</v>
      </c>
      <c r="O149">
        <v>0.36445638073470737</v>
      </c>
      <c r="P149">
        <v>0.18913751491947889</v>
      </c>
      <c r="Q149">
        <v>0.13313506369869429</v>
      </c>
      <c r="R149" t="s">
        <v>322</v>
      </c>
      <c r="S149" t="s">
        <v>323</v>
      </c>
      <c r="T149">
        <v>1.289935148733321</v>
      </c>
      <c r="U149">
        <v>210.4319544106809</v>
      </c>
      <c r="V149">
        <v>200.175516528668</v>
      </c>
      <c r="W149">
        <f>VALUE(","&amp;MID(R149,4,10))</f>
        <v>0.17146494540000001</v>
      </c>
      <c r="X149">
        <f>((O149-0.364)/0.0012)^2+((W149-0.174)/0.016)^2</f>
        <v>0.16974475540109057</v>
      </c>
      <c r="Y149">
        <f>((O149-O$8)/0.0012)^2+((W149-W$8)/0.016)^2</f>
        <v>6.8372651969409795E-2</v>
      </c>
      <c r="Z149" s="5">
        <f>Y149*100</f>
        <v>6.8372651969409795</v>
      </c>
    </row>
    <row r="150" spans="1:26" hidden="1" x14ac:dyDescent="0.2">
      <c r="A150" t="s">
        <v>180</v>
      </c>
      <c r="B150" t="s">
        <v>61</v>
      </c>
      <c r="C150">
        <v>2.7</v>
      </c>
      <c r="D150">
        <v>45</v>
      </c>
      <c r="E150">
        <v>6.8664584492407332</v>
      </c>
      <c r="F150">
        <v>6.1660135339506894</v>
      </c>
      <c r="G150">
        <v>1691.9949402017819</v>
      </c>
      <c r="H150">
        <v>0</v>
      </c>
      <c r="I150">
        <v>0.8</v>
      </c>
      <c r="J150" t="b">
        <v>1</v>
      </c>
      <c r="K150">
        <v>1E+20</v>
      </c>
      <c r="L150">
        <v>0.3</v>
      </c>
      <c r="M150" t="b">
        <v>1</v>
      </c>
      <c r="N150">
        <v>100000000000</v>
      </c>
      <c r="O150">
        <v>0.36445638073470737</v>
      </c>
      <c r="P150">
        <v>0.18913751491947889</v>
      </c>
      <c r="Q150">
        <v>0.13313506369869429</v>
      </c>
      <c r="R150" t="s">
        <v>324</v>
      </c>
      <c r="S150" t="s">
        <v>325</v>
      </c>
      <c r="T150">
        <v>1.289935148733321</v>
      </c>
      <c r="U150">
        <v>214.68260425131299</v>
      </c>
      <c r="V150">
        <v>200.175516528668</v>
      </c>
    </row>
    <row r="151" spans="1:26" x14ac:dyDescent="0.2">
      <c r="A151" t="s">
        <v>180</v>
      </c>
      <c r="B151" t="s">
        <v>61</v>
      </c>
      <c r="C151">
        <v>2.8</v>
      </c>
      <c r="D151">
        <v>70</v>
      </c>
      <c r="E151">
        <v>6.8768608607609041</v>
      </c>
      <c r="F151">
        <v>6.1597490761055074</v>
      </c>
      <c r="G151">
        <v>1707.6739802017771</v>
      </c>
      <c r="H151">
        <v>0</v>
      </c>
      <c r="I151">
        <v>0.8</v>
      </c>
      <c r="J151" t="b">
        <v>1</v>
      </c>
      <c r="K151">
        <v>1E+21</v>
      </c>
      <c r="L151">
        <v>0.3</v>
      </c>
      <c r="M151" t="b">
        <v>1</v>
      </c>
      <c r="N151">
        <v>100000000000</v>
      </c>
      <c r="O151">
        <v>0.3634320292329708</v>
      </c>
      <c r="P151">
        <v>0.19105989876569879</v>
      </c>
      <c r="Q151">
        <v>0.13469756345320641</v>
      </c>
      <c r="R151" t="s">
        <v>326</v>
      </c>
      <c r="S151" t="s">
        <v>327</v>
      </c>
      <c r="T151">
        <v>1.289935148733321</v>
      </c>
      <c r="U151">
        <v>210.37896414896991</v>
      </c>
      <c r="V151">
        <v>199.89653571936631</v>
      </c>
      <c r="W151">
        <f>VALUE(","&amp;MID(R151,4,10))</f>
        <v>0.17398781169999999</v>
      </c>
      <c r="X151">
        <f>((O151-0.364)/0.0012)^2+((W151-0.174)/0.016)^2</f>
        <v>0.22402196376366162</v>
      </c>
      <c r="Y151">
        <f>((O151-O$8)/0.0012)^2+((W151-W$8)/0.016)^2</f>
        <v>0.63242437050393596</v>
      </c>
      <c r="Z151" s="5">
        <f>Y151*100</f>
        <v>63.242437050393598</v>
      </c>
    </row>
    <row r="152" spans="1:26" hidden="1" x14ac:dyDescent="0.2">
      <c r="A152" t="s">
        <v>180</v>
      </c>
      <c r="B152" t="s">
        <v>61</v>
      </c>
      <c r="C152">
        <v>2.8</v>
      </c>
      <c r="D152">
        <v>70</v>
      </c>
      <c r="E152">
        <v>6.8768608607609041</v>
      </c>
      <c r="F152">
        <v>6.1597490761055074</v>
      </c>
      <c r="G152">
        <v>1707.6739802017771</v>
      </c>
      <c r="H152">
        <v>0</v>
      </c>
      <c r="I152">
        <v>0.8</v>
      </c>
      <c r="J152" t="b">
        <v>1</v>
      </c>
      <c r="K152">
        <v>1E+20</v>
      </c>
      <c r="L152">
        <v>0.3</v>
      </c>
      <c r="M152" t="b">
        <v>1</v>
      </c>
      <c r="N152">
        <v>100000000000</v>
      </c>
      <c r="O152">
        <v>0.3634320292329708</v>
      </c>
      <c r="P152">
        <v>0.19105989876569879</v>
      </c>
      <c r="Q152">
        <v>0.13469756345320641</v>
      </c>
      <c r="R152" t="s">
        <v>328</v>
      </c>
      <c r="S152" t="s">
        <v>329</v>
      </c>
      <c r="T152">
        <v>1.289935148733321</v>
      </c>
      <c r="U152">
        <v>214.68998702119339</v>
      </c>
      <c r="V152">
        <v>199.89653571936631</v>
      </c>
    </row>
    <row r="153" spans="1:26" x14ac:dyDescent="0.2">
      <c r="A153" t="s">
        <v>180</v>
      </c>
      <c r="B153" t="s">
        <v>61</v>
      </c>
      <c r="C153">
        <v>2.8</v>
      </c>
      <c r="D153">
        <v>65</v>
      </c>
      <c r="E153">
        <v>6.8718868712396297</v>
      </c>
      <c r="F153">
        <v>6.1615327760160161</v>
      </c>
      <c r="G153">
        <v>1703.1822042017779</v>
      </c>
      <c r="H153">
        <v>0</v>
      </c>
      <c r="I153">
        <v>0.8</v>
      </c>
      <c r="J153" t="b">
        <v>1</v>
      </c>
      <c r="K153">
        <v>1E+21</v>
      </c>
      <c r="L153">
        <v>0.3</v>
      </c>
      <c r="M153" t="b">
        <v>1</v>
      </c>
      <c r="N153">
        <v>100000000000</v>
      </c>
      <c r="O153">
        <v>0.363738367459504</v>
      </c>
      <c r="P153">
        <v>0.190490412821093</v>
      </c>
      <c r="Q153">
        <v>0.13425658650302499</v>
      </c>
      <c r="R153" t="s">
        <v>330</v>
      </c>
      <c r="S153" t="s">
        <v>331</v>
      </c>
      <c r="T153">
        <v>1.289935148733321</v>
      </c>
      <c r="U153">
        <v>210.39638589622189</v>
      </c>
      <c r="V153">
        <v>199.97981547142459</v>
      </c>
      <c r="W153">
        <f>VALUE(","&amp;MID(R153,4,10))</f>
        <v>0.17327333019999999</v>
      </c>
      <c r="X153">
        <f>((O153-0.364)/0.0012)^2+((W153-0.174)/0.016)^2</f>
        <v>4.9598515181557355E-2</v>
      </c>
      <c r="Y153">
        <f>((O153-O$8)/0.0012)^2+((W153-W$8)/0.016)^2</f>
        <v>0.30741111922622666</v>
      </c>
      <c r="Z153" s="5">
        <f>Y153*100</f>
        <v>30.741111922622665</v>
      </c>
    </row>
    <row r="154" spans="1:26" hidden="1" x14ac:dyDescent="0.2">
      <c r="A154" t="s">
        <v>180</v>
      </c>
      <c r="B154" t="s">
        <v>61</v>
      </c>
      <c r="C154">
        <v>2.8</v>
      </c>
      <c r="D154">
        <v>65</v>
      </c>
      <c r="E154">
        <v>6.8718868712396297</v>
      </c>
      <c r="F154">
        <v>6.1615327760160161</v>
      </c>
      <c r="G154">
        <v>1703.1822042017779</v>
      </c>
      <c r="H154">
        <v>0</v>
      </c>
      <c r="I154">
        <v>0.8</v>
      </c>
      <c r="J154" t="b">
        <v>1</v>
      </c>
      <c r="K154">
        <v>1E+20</v>
      </c>
      <c r="L154">
        <v>0.3</v>
      </c>
      <c r="M154" t="b">
        <v>1</v>
      </c>
      <c r="N154">
        <v>100000000000</v>
      </c>
      <c r="O154">
        <v>0.363738367459504</v>
      </c>
      <c r="P154">
        <v>0.190490412821093</v>
      </c>
      <c r="Q154">
        <v>0.13425658650302499</v>
      </c>
      <c r="R154" t="s">
        <v>332</v>
      </c>
      <c r="S154" t="s">
        <v>333</v>
      </c>
      <c r="T154">
        <v>1.289935148733321</v>
      </c>
      <c r="U154">
        <v>214.68795828408309</v>
      </c>
      <c r="V154">
        <v>199.97981547142459</v>
      </c>
    </row>
    <row r="155" spans="1:26" x14ac:dyDescent="0.2">
      <c r="A155" t="s">
        <v>180</v>
      </c>
      <c r="B155" t="s">
        <v>61</v>
      </c>
      <c r="C155">
        <v>2.8</v>
      </c>
      <c r="D155">
        <v>60</v>
      </c>
      <c r="E155">
        <v>6.87215673533081</v>
      </c>
      <c r="F155">
        <v>6.1634943002782574</v>
      </c>
      <c r="G155">
        <v>1698.35143620178</v>
      </c>
      <c r="H155">
        <v>0</v>
      </c>
      <c r="I155">
        <v>0.8</v>
      </c>
      <c r="J155" t="b">
        <v>1</v>
      </c>
      <c r="K155">
        <v>1E+21</v>
      </c>
      <c r="L155">
        <v>0.3</v>
      </c>
      <c r="M155" t="b">
        <v>1</v>
      </c>
      <c r="N155">
        <v>100000000000</v>
      </c>
      <c r="O155">
        <v>0.36404021665177749</v>
      </c>
      <c r="P155">
        <v>0.18993044879340459</v>
      </c>
      <c r="Q155">
        <v>0.13377203973994489</v>
      </c>
      <c r="R155" t="s">
        <v>334</v>
      </c>
      <c r="S155" t="s">
        <v>335</v>
      </c>
      <c r="T155">
        <v>1.289935148733321</v>
      </c>
      <c r="U155">
        <v>210.41010117113731</v>
      </c>
      <c r="V155">
        <v>200.06546599495809</v>
      </c>
      <c r="W155">
        <f>VALUE(","&amp;MID(R155,4,10))</f>
        <v>0.1724937335</v>
      </c>
      <c r="X155">
        <f>((O155-0.364)/0.0012)^2+((W155-0.174)/0.016)^2</f>
        <v>9.9858313582936991E-3</v>
      </c>
      <c r="Y155">
        <f>((O155-O$8)/0.0012)^2+((W155-W$8)/0.016)^2</f>
        <v>0.11589803519445779</v>
      </c>
      <c r="Z155" s="5">
        <f>Y155*100</f>
        <v>11.589803519445779</v>
      </c>
    </row>
    <row r="156" spans="1:26" hidden="1" x14ac:dyDescent="0.2">
      <c r="A156" t="s">
        <v>180</v>
      </c>
      <c r="B156" t="s">
        <v>61</v>
      </c>
      <c r="C156">
        <v>2.8</v>
      </c>
      <c r="D156">
        <v>60</v>
      </c>
      <c r="E156">
        <v>6.87215673533081</v>
      </c>
      <c r="F156">
        <v>6.1634943002782574</v>
      </c>
      <c r="G156">
        <v>1698.35143620178</v>
      </c>
      <c r="H156">
        <v>0</v>
      </c>
      <c r="I156">
        <v>0.8</v>
      </c>
      <c r="J156" t="b">
        <v>1</v>
      </c>
      <c r="K156">
        <v>1E+20</v>
      </c>
      <c r="L156">
        <v>0.3</v>
      </c>
      <c r="M156" t="b">
        <v>1</v>
      </c>
      <c r="N156">
        <v>100000000000</v>
      </c>
      <c r="O156">
        <v>0.36404021665177749</v>
      </c>
      <c r="P156">
        <v>0.18993044879340459</v>
      </c>
      <c r="Q156">
        <v>0.13377203973994489</v>
      </c>
      <c r="R156" t="s">
        <v>336</v>
      </c>
      <c r="S156" t="s">
        <v>337</v>
      </c>
      <c r="T156">
        <v>1.289935148733321</v>
      </c>
      <c r="U156">
        <v>214.67970703958369</v>
      </c>
      <c r="V156">
        <v>200.06546599495809</v>
      </c>
    </row>
    <row r="157" spans="1:26" s="4" customFormat="1" x14ac:dyDescent="0.2">
      <c r="A157" s="4" t="s">
        <v>180</v>
      </c>
      <c r="B157" s="4" t="s">
        <v>61</v>
      </c>
      <c r="C157" s="4">
        <v>2.8</v>
      </c>
      <c r="D157" s="4">
        <v>55</v>
      </c>
      <c r="E157" s="4">
        <v>6.866378960678194</v>
      </c>
      <c r="F157" s="4">
        <v>6.1652338013061856</v>
      </c>
      <c r="G157" s="4">
        <v>1693.859660201781</v>
      </c>
      <c r="H157" s="4">
        <v>0</v>
      </c>
      <c r="I157" s="4">
        <v>0.8</v>
      </c>
      <c r="J157" s="4" t="b">
        <v>1</v>
      </c>
      <c r="K157" s="4">
        <v>1E+21</v>
      </c>
      <c r="L157" s="4">
        <v>0.3</v>
      </c>
      <c r="M157" s="4" t="b">
        <v>1</v>
      </c>
      <c r="N157" s="4">
        <v>100000000000</v>
      </c>
      <c r="O157" s="4">
        <v>0.36435129389329363</v>
      </c>
      <c r="P157" s="4">
        <v>0.1893550781511161</v>
      </c>
      <c r="Q157" s="4">
        <v>0.13334014594711999</v>
      </c>
      <c r="R157" s="4" t="s">
        <v>338</v>
      </c>
      <c r="S157" s="4" t="s">
        <v>339</v>
      </c>
      <c r="T157" s="4">
        <v>1.289935148733321</v>
      </c>
      <c r="U157" s="4">
        <v>210.4269157932965</v>
      </c>
      <c r="V157" s="4">
        <v>200.14685061087039</v>
      </c>
      <c r="W157" s="4">
        <f>VALUE(","&amp;MID(R157,4,10))</f>
        <v>0.17179290950000001</v>
      </c>
      <c r="X157" s="4">
        <f>((O157-0.364)/0.0012)^2+((W157-0.174)/0.016)^2</f>
        <v>0.10472789731829528</v>
      </c>
      <c r="Y157" s="4">
        <f>((O157-O$8)/0.0012)^2+((W157-W$8)/0.016)^2</f>
        <v>5.8870581540029672E-2</v>
      </c>
      <c r="Z157" s="6">
        <f>Y157*100</f>
        <v>5.8870581540029674</v>
      </c>
    </row>
    <row r="158" spans="1:26" hidden="1" x14ac:dyDescent="0.2">
      <c r="A158" t="s">
        <v>180</v>
      </c>
      <c r="B158" t="s">
        <v>61</v>
      </c>
      <c r="C158">
        <v>2.8</v>
      </c>
      <c r="D158">
        <v>55</v>
      </c>
      <c r="E158">
        <v>6.866378960678194</v>
      </c>
      <c r="F158">
        <v>6.1652338013061856</v>
      </c>
      <c r="G158">
        <v>1693.859660201781</v>
      </c>
      <c r="H158">
        <v>0</v>
      </c>
      <c r="I158">
        <v>0.8</v>
      </c>
      <c r="J158" t="b">
        <v>1</v>
      </c>
      <c r="K158">
        <v>1E+20</v>
      </c>
      <c r="L158">
        <v>0.3</v>
      </c>
      <c r="M158" t="b">
        <v>1</v>
      </c>
      <c r="N158">
        <v>100000000000</v>
      </c>
      <c r="O158">
        <v>0.36435129389329363</v>
      </c>
      <c r="P158">
        <v>0.1893550781511161</v>
      </c>
      <c r="Q158">
        <v>0.13334014594711999</v>
      </c>
      <c r="R158" t="s">
        <v>340</v>
      </c>
      <c r="S158" t="s">
        <v>341</v>
      </c>
      <c r="T158">
        <v>1.289935148733321</v>
      </c>
      <c r="U158">
        <v>214.67756547617321</v>
      </c>
      <c r="V158">
        <v>200.14685061087039</v>
      </c>
    </row>
    <row r="159" spans="1:26" x14ac:dyDescent="0.2">
      <c r="A159" t="s">
        <v>180</v>
      </c>
      <c r="B159" t="s">
        <v>61</v>
      </c>
      <c r="C159">
        <v>2.9</v>
      </c>
      <c r="D159">
        <v>70</v>
      </c>
      <c r="E159">
        <v>6.8687684550255392</v>
      </c>
      <c r="F159">
        <v>6.1642916273928696</v>
      </c>
      <c r="G159">
        <v>1696.1482522017791</v>
      </c>
      <c r="H159">
        <v>0</v>
      </c>
      <c r="I159">
        <v>0.8</v>
      </c>
      <c r="J159" t="b">
        <v>1</v>
      </c>
      <c r="K159">
        <v>1E+21</v>
      </c>
      <c r="L159">
        <v>0.3</v>
      </c>
      <c r="M159" t="b">
        <v>1</v>
      </c>
      <c r="N159">
        <v>100000000000</v>
      </c>
      <c r="O159">
        <v>0.36421517612617332</v>
      </c>
      <c r="P159">
        <v>0.18964626823493619</v>
      </c>
      <c r="Q159">
        <v>0.13359415871778851</v>
      </c>
      <c r="R159" t="s">
        <v>342</v>
      </c>
      <c r="S159" t="s">
        <v>343</v>
      </c>
      <c r="T159">
        <v>1.289935148733321</v>
      </c>
      <c r="U159">
        <v>210.4186912390208</v>
      </c>
      <c r="V159">
        <v>200.11158701181199</v>
      </c>
      <c r="W159">
        <f>VALUE(","&amp;MID(R159,4,10))</f>
        <v>0.17219959000000001</v>
      </c>
      <c r="X159">
        <f>((O159-0.364)/0.0012)^2+((W159-0.174)/0.016)^2</f>
        <v>4.481532550036401E-2</v>
      </c>
      <c r="Y159">
        <f>((O159-O$8)/0.0012)^2+((W159-W$8)/0.016)^2</f>
        <v>7.0022111163532991E-2</v>
      </c>
      <c r="Z159" s="5">
        <f>Y159*100</f>
        <v>7.0022111163532994</v>
      </c>
    </row>
    <row r="160" spans="1:26" hidden="1" x14ac:dyDescent="0.2">
      <c r="A160" t="s">
        <v>180</v>
      </c>
      <c r="B160" t="s">
        <v>61</v>
      </c>
      <c r="C160">
        <v>2.9</v>
      </c>
      <c r="D160">
        <v>70</v>
      </c>
      <c r="E160">
        <v>6.8687684550255392</v>
      </c>
      <c r="F160">
        <v>6.1642916273928696</v>
      </c>
      <c r="G160">
        <v>1696.1482522017791</v>
      </c>
      <c r="H160">
        <v>0</v>
      </c>
      <c r="I160">
        <v>0.8</v>
      </c>
      <c r="J160" t="b">
        <v>1</v>
      </c>
      <c r="K160">
        <v>1E+20</v>
      </c>
      <c r="L160">
        <v>0.3</v>
      </c>
      <c r="M160" t="b">
        <v>1</v>
      </c>
      <c r="N160">
        <v>100000000000</v>
      </c>
      <c r="O160">
        <v>0.36421517612617332</v>
      </c>
      <c r="P160">
        <v>0.18964626823493619</v>
      </c>
      <c r="Q160">
        <v>0.13359415871778851</v>
      </c>
      <c r="R160" t="s">
        <v>344</v>
      </c>
      <c r="S160" t="s">
        <v>345</v>
      </c>
      <c r="T160">
        <v>1.289935148733321</v>
      </c>
      <c r="U160">
        <v>214.6658490615404</v>
      </c>
      <c r="V160">
        <v>200.11158701181199</v>
      </c>
    </row>
    <row r="161" spans="1:26" x14ac:dyDescent="0.2">
      <c r="A161" t="s">
        <v>180</v>
      </c>
      <c r="B161" t="s">
        <v>61</v>
      </c>
      <c r="C161">
        <v>2.9</v>
      </c>
      <c r="D161">
        <v>65</v>
      </c>
      <c r="E161">
        <v>6.8656782382116566</v>
      </c>
      <c r="F161">
        <v>6.165790967521529</v>
      </c>
      <c r="G161">
        <v>1692.3344602017801</v>
      </c>
      <c r="H161">
        <v>0</v>
      </c>
      <c r="I161">
        <v>0.8</v>
      </c>
      <c r="J161" t="b">
        <v>1</v>
      </c>
      <c r="K161">
        <v>1E+21</v>
      </c>
      <c r="L161">
        <v>0.3</v>
      </c>
      <c r="M161" t="b">
        <v>1</v>
      </c>
      <c r="N161">
        <v>100000000000</v>
      </c>
      <c r="O161">
        <v>0.3644676510011397</v>
      </c>
      <c r="P161">
        <v>0.18917431115324559</v>
      </c>
      <c r="Q161">
        <v>0.13322110647390131</v>
      </c>
      <c r="R161" t="s">
        <v>346</v>
      </c>
      <c r="S161" t="s">
        <v>347</v>
      </c>
      <c r="T161">
        <v>1.289935148733321</v>
      </c>
      <c r="U161">
        <v>210.43126180821301</v>
      </c>
      <c r="V161">
        <v>200.1789069296658</v>
      </c>
      <c r="W161">
        <f>VALUE(","&amp;MID(R161,4,10))</f>
        <v>0.1715966438</v>
      </c>
      <c r="X161">
        <f>((O161-0.364)/0.0012)^2+((W161-0.174)/0.016)^2</f>
        <v>0.17443620807459478</v>
      </c>
      <c r="Y161">
        <f>((O161-O$8)/0.0012)^2+((W161-W$8)/0.016)^2</f>
        <v>7.4875594342852611E-2</v>
      </c>
      <c r="Z161" s="5">
        <f>Y161*100</f>
        <v>7.4875594342852612</v>
      </c>
    </row>
    <row r="162" spans="1:26" hidden="1" x14ac:dyDescent="0.2">
      <c r="A162" t="s">
        <v>180</v>
      </c>
      <c r="B162" t="s">
        <v>61</v>
      </c>
      <c r="C162">
        <v>2.9</v>
      </c>
      <c r="D162">
        <v>65</v>
      </c>
      <c r="E162">
        <v>6.8656782382116566</v>
      </c>
      <c r="F162">
        <v>6.165790967521529</v>
      </c>
      <c r="G162">
        <v>1692.3344602017801</v>
      </c>
      <c r="H162">
        <v>0</v>
      </c>
      <c r="I162">
        <v>0.8</v>
      </c>
      <c r="J162" t="b">
        <v>1</v>
      </c>
      <c r="K162">
        <v>1E+20</v>
      </c>
      <c r="L162">
        <v>0.3</v>
      </c>
      <c r="M162" t="b">
        <v>1</v>
      </c>
      <c r="N162">
        <v>100000000000</v>
      </c>
      <c r="O162">
        <v>0.3644676510011397</v>
      </c>
      <c r="P162">
        <v>0.18917431115324559</v>
      </c>
      <c r="Q162">
        <v>0.13322110647390131</v>
      </c>
      <c r="R162" t="s">
        <v>348</v>
      </c>
      <c r="S162" t="s">
        <v>349</v>
      </c>
      <c r="T162">
        <v>1.289935148733321</v>
      </c>
      <c r="U162">
        <v>214.66304418123769</v>
      </c>
      <c r="V162">
        <v>200.1789069296658</v>
      </c>
    </row>
    <row r="163" spans="1:26" hidden="1" x14ac:dyDescent="0.2">
      <c r="A163" t="s">
        <v>180</v>
      </c>
      <c r="B163" t="s">
        <v>61</v>
      </c>
      <c r="C163">
        <v>2.7</v>
      </c>
      <c r="D163">
        <v>55</v>
      </c>
      <c r="E163">
        <v>7.0242071021010348</v>
      </c>
      <c r="F163">
        <v>6.3210304810113174</v>
      </c>
      <c r="G163">
        <v>1667.418284201784</v>
      </c>
      <c r="H163">
        <v>0</v>
      </c>
      <c r="I163">
        <v>0.7</v>
      </c>
      <c r="J163" t="b">
        <v>1</v>
      </c>
      <c r="K163">
        <v>1E+20</v>
      </c>
      <c r="L163">
        <v>0.3</v>
      </c>
      <c r="M163" t="b">
        <v>1</v>
      </c>
      <c r="N163">
        <v>100000000000</v>
      </c>
      <c r="O163">
        <v>0.36343626634717863</v>
      </c>
      <c r="P163">
        <v>0.1875983344949384</v>
      </c>
      <c r="Q163">
        <v>0.12930501357633209</v>
      </c>
      <c r="R163" t="s">
        <v>350</v>
      </c>
      <c r="S163" t="s">
        <v>351</v>
      </c>
      <c r="T163">
        <v>1.289935148733321</v>
      </c>
      <c r="U163">
        <v>213.8213047532704</v>
      </c>
      <c r="V163">
        <v>200.0747338718316</v>
      </c>
    </row>
    <row r="164" spans="1:26" hidden="1" x14ac:dyDescent="0.2">
      <c r="A164" t="s">
        <v>180</v>
      </c>
      <c r="B164" t="s">
        <v>61</v>
      </c>
      <c r="C164">
        <v>2.7</v>
      </c>
      <c r="D164">
        <v>55</v>
      </c>
      <c r="E164">
        <v>7.0242071021010348</v>
      </c>
      <c r="F164">
        <v>6.3210304810113174</v>
      </c>
      <c r="G164">
        <v>1667.418284201784</v>
      </c>
      <c r="H164">
        <v>0</v>
      </c>
      <c r="I164">
        <v>0.7</v>
      </c>
      <c r="J164" t="b">
        <v>1</v>
      </c>
      <c r="K164">
        <v>1E+19</v>
      </c>
      <c r="L164">
        <v>0.3</v>
      </c>
      <c r="M164" t="b">
        <v>1</v>
      </c>
      <c r="N164">
        <v>100000000000</v>
      </c>
      <c r="O164">
        <v>0.36343626634717863</v>
      </c>
      <c r="P164">
        <v>0.1875983344949384</v>
      </c>
      <c r="Q164">
        <v>0.12930501357633209</v>
      </c>
      <c r="R164" t="s">
        <v>352</v>
      </c>
      <c r="S164" t="s">
        <v>353</v>
      </c>
      <c r="T164">
        <v>1.289935148733321</v>
      </c>
      <c r="U164">
        <v>227.2864102146635</v>
      </c>
      <c r="V164">
        <v>200.0747338718316</v>
      </c>
    </row>
    <row r="165" spans="1:26" hidden="1" x14ac:dyDescent="0.2">
      <c r="A165" t="s">
        <v>180</v>
      </c>
      <c r="B165" t="s">
        <v>61</v>
      </c>
      <c r="C165">
        <v>2.7</v>
      </c>
      <c r="D165">
        <v>50</v>
      </c>
      <c r="E165">
        <v>7.0180319392053576</v>
      </c>
      <c r="F165">
        <v>6.3229124700209853</v>
      </c>
      <c r="G165">
        <v>1662.2485242017849</v>
      </c>
      <c r="H165">
        <v>0</v>
      </c>
      <c r="I165">
        <v>0.7</v>
      </c>
      <c r="J165" t="b">
        <v>1</v>
      </c>
      <c r="K165">
        <v>1E+20</v>
      </c>
      <c r="L165">
        <v>0.3</v>
      </c>
      <c r="M165" t="b">
        <v>1</v>
      </c>
      <c r="N165">
        <v>100000000000</v>
      </c>
      <c r="O165">
        <v>0.36380704271031727</v>
      </c>
      <c r="P165">
        <v>0.1869439644640033</v>
      </c>
      <c r="Q165">
        <v>0.12885027721558909</v>
      </c>
      <c r="R165" t="s">
        <v>354</v>
      </c>
      <c r="S165" t="s">
        <v>355</v>
      </c>
      <c r="T165">
        <v>1.289935148733321</v>
      </c>
      <c r="U165">
        <v>213.82599893839179</v>
      </c>
      <c r="V165">
        <v>200.16681316003451</v>
      </c>
    </row>
    <row r="166" spans="1:26" hidden="1" x14ac:dyDescent="0.2">
      <c r="A166" t="s">
        <v>180</v>
      </c>
      <c r="B166" t="s">
        <v>61</v>
      </c>
      <c r="C166">
        <v>2.7</v>
      </c>
      <c r="D166">
        <v>50</v>
      </c>
      <c r="E166">
        <v>7.0180319392053576</v>
      </c>
      <c r="F166">
        <v>6.3229124700209853</v>
      </c>
      <c r="G166">
        <v>1662.2485242017849</v>
      </c>
      <c r="H166">
        <v>0</v>
      </c>
      <c r="I166">
        <v>0.7</v>
      </c>
      <c r="J166" t="b">
        <v>1</v>
      </c>
      <c r="K166">
        <v>1E+19</v>
      </c>
      <c r="L166">
        <v>0.3</v>
      </c>
      <c r="M166" t="b">
        <v>1</v>
      </c>
      <c r="N166">
        <v>100000000000</v>
      </c>
      <c r="O166">
        <v>0.36380704271031727</v>
      </c>
      <c r="P166">
        <v>0.1869439644640033</v>
      </c>
      <c r="Q166">
        <v>0.12885027721558909</v>
      </c>
      <c r="R166" t="s">
        <v>356</v>
      </c>
      <c r="S166" t="s">
        <v>357</v>
      </c>
      <c r="T166">
        <v>1.289935148733321</v>
      </c>
      <c r="U166">
        <v>227.2056489585691</v>
      </c>
      <c r="V166">
        <v>200.16681316003451</v>
      </c>
    </row>
    <row r="167" spans="1:26" hidden="1" x14ac:dyDescent="0.2">
      <c r="A167" t="s">
        <v>180</v>
      </c>
      <c r="B167" t="s">
        <v>61</v>
      </c>
      <c r="C167">
        <v>2.7</v>
      </c>
      <c r="D167">
        <v>45</v>
      </c>
      <c r="E167">
        <v>7.0170413516945507</v>
      </c>
      <c r="F167">
        <v>6.3249641604479088</v>
      </c>
      <c r="G167">
        <v>1656.7397722017861</v>
      </c>
      <c r="H167">
        <v>0</v>
      </c>
      <c r="I167">
        <v>0.7</v>
      </c>
      <c r="J167" t="b">
        <v>1</v>
      </c>
      <c r="K167">
        <v>1E+20</v>
      </c>
      <c r="L167">
        <v>0.3</v>
      </c>
      <c r="M167" t="b">
        <v>1</v>
      </c>
      <c r="N167">
        <v>100000000000</v>
      </c>
      <c r="O167">
        <v>0.36417435588060842</v>
      </c>
      <c r="P167">
        <v>0.18630031955217949</v>
      </c>
      <c r="Q167">
        <v>0.1283562211043163</v>
      </c>
      <c r="R167" t="s">
        <v>358</v>
      </c>
      <c r="S167" t="s">
        <v>359</v>
      </c>
      <c r="T167">
        <v>1.289935148733321</v>
      </c>
      <c r="U167">
        <v>213.824379144315</v>
      </c>
      <c r="V167">
        <v>200.26071403594571</v>
      </c>
    </row>
    <row r="168" spans="1:26" hidden="1" x14ac:dyDescent="0.2">
      <c r="A168" t="s">
        <v>180</v>
      </c>
      <c r="B168" t="s">
        <v>61</v>
      </c>
      <c r="C168">
        <v>2.7</v>
      </c>
      <c r="D168">
        <v>45</v>
      </c>
      <c r="E168">
        <v>7.0170413516945507</v>
      </c>
      <c r="F168">
        <v>6.3249641604479088</v>
      </c>
      <c r="G168">
        <v>1656.7397722017861</v>
      </c>
      <c r="H168">
        <v>0</v>
      </c>
      <c r="I168">
        <v>0.7</v>
      </c>
      <c r="J168" t="b">
        <v>1</v>
      </c>
      <c r="K168">
        <v>1E+19</v>
      </c>
      <c r="L168">
        <v>0.3</v>
      </c>
      <c r="M168" t="b">
        <v>1</v>
      </c>
      <c r="N168">
        <v>100000000000</v>
      </c>
      <c r="O168">
        <v>0.36417435588060842</v>
      </c>
      <c r="P168">
        <v>0.18630031955217949</v>
      </c>
      <c r="Q168">
        <v>0.1283562211043163</v>
      </c>
      <c r="R168" t="s">
        <v>360</v>
      </c>
      <c r="S168" t="s">
        <v>361</v>
      </c>
      <c r="T168">
        <v>1.289935148733321</v>
      </c>
      <c r="U168">
        <v>227.1101208936204</v>
      </c>
      <c r="V168">
        <v>200.26071403594571</v>
      </c>
    </row>
    <row r="169" spans="1:26" hidden="1" x14ac:dyDescent="0.2">
      <c r="A169" t="s">
        <v>180</v>
      </c>
      <c r="B169" t="s">
        <v>61</v>
      </c>
      <c r="C169">
        <v>2.7</v>
      </c>
      <c r="D169">
        <v>40</v>
      </c>
      <c r="E169">
        <v>7.0153324414918803</v>
      </c>
      <c r="F169">
        <v>6.3269865596183594</v>
      </c>
      <c r="G169">
        <v>1651.2341014516051</v>
      </c>
      <c r="H169">
        <v>0</v>
      </c>
      <c r="I169">
        <v>0.7</v>
      </c>
      <c r="J169" t="b">
        <v>1</v>
      </c>
      <c r="K169">
        <v>1E+20</v>
      </c>
      <c r="L169">
        <v>0.3</v>
      </c>
      <c r="M169" t="b">
        <v>1</v>
      </c>
      <c r="N169">
        <v>100000000000</v>
      </c>
      <c r="O169">
        <v>0.36454496994131919</v>
      </c>
      <c r="P169">
        <v>0.18565162841241889</v>
      </c>
      <c r="Q169">
        <v>0.12786712779447651</v>
      </c>
      <c r="R169" t="s">
        <v>362</v>
      </c>
      <c r="S169" t="s">
        <v>363</v>
      </c>
      <c r="T169">
        <v>1.289935148733321</v>
      </c>
      <c r="U169">
        <v>213.82692220424809</v>
      </c>
      <c r="V169">
        <v>200.3529979154105</v>
      </c>
    </row>
    <row r="170" spans="1:26" hidden="1" x14ac:dyDescent="0.2">
      <c r="A170" t="s">
        <v>180</v>
      </c>
      <c r="B170" t="s">
        <v>61</v>
      </c>
      <c r="C170">
        <v>2.7</v>
      </c>
      <c r="D170">
        <v>40</v>
      </c>
      <c r="E170">
        <v>7.0153324414918803</v>
      </c>
      <c r="F170">
        <v>6.3269865596183594</v>
      </c>
      <c r="G170">
        <v>1651.2341014516051</v>
      </c>
      <c r="H170">
        <v>0</v>
      </c>
      <c r="I170">
        <v>0.7</v>
      </c>
      <c r="J170" t="b">
        <v>1</v>
      </c>
      <c r="K170">
        <v>1E+19</v>
      </c>
      <c r="L170">
        <v>0.3</v>
      </c>
      <c r="M170" t="b">
        <v>1</v>
      </c>
      <c r="N170">
        <v>100000000000</v>
      </c>
      <c r="O170">
        <v>0.36454496994131919</v>
      </c>
      <c r="P170">
        <v>0.18565162841241889</v>
      </c>
      <c r="Q170">
        <v>0.12786712779447651</v>
      </c>
      <c r="R170" t="s">
        <v>364</v>
      </c>
      <c r="S170" t="s">
        <v>365</v>
      </c>
      <c r="T170">
        <v>1.289935148733321</v>
      </c>
      <c r="U170">
        <v>227.02203695951209</v>
      </c>
      <c r="V170">
        <v>200.3529979154105</v>
      </c>
    </row>
    <row r="171" spans="1:26" hidden="1" x14ac:dyDescent="0.2">
      <c r="A171" t="s">
        <v>180</v>
      </c>
      <c r="B171" t="s">
        <v>61</v>
      </c>
      <c r="C171">
        <v>2.8</v>
      </c>
      <c r="D171">
        <v>65</v>
      </c>
      <c r="E171">
        <v>7.0235808500847829</v>
      </c>
      <c r="F171">
        <v>6.3209128165691828</v>
      </c>
      <c r="G171">
        <v>1667.5880442017819</v>
      </c>
      <c r="H171">
        <v>0</v>
      </c>
      <c r="I171">
        <v>0.7</v>
      </c>
      <c r="J171" t="b">
        <v>1</v>
      </c>
      <c r="K171">
        <v>1E+20</v>
      </c>
      <c r="L171">
        <v>0.3</v>
      </c>
      <c r="M171" t="b">
        <v>1</v>
      </c>
      <c r="N171">
        <v>100000000000</v>
      </c>
      <c r="O171">
        <v>0.36344570599851272</v>
      </c>
      <c r="P171">
        <v>0.1876149157470795</v>
      </c>
      <c r="Q171">
        <v>0.129346396743411</v>
      </c>
      <c r="R171" t="s">
        <v>366</v>
      </c>
      <c r="S171" t="s">
        <v>367</v>
      </c>
      <c r="T171">
        <v>1.289935148733321</v>
      </c>
      <c r="U171">
        <v>213.8125515800817</v>
      </c>
      <c r="V171">
        <v>200.07634200868</v>
      </c>
    </row>
    <row r="172" spans="1:26" hidden="1" x14ac:dyDescent="0.2">
      <c r="A172" t="s">
        <v>180</v>
      </c>
      <c r="B172" t="s">
        <v>61</v>
      </c>
      <c r="C172">
        <v>2.8</v>
      </c>
      <c r="D172">
        <v>65</v>
      </c>
      <c r="E172">
        <v>7.0235808500847829</v>
      </c>
      <c r="F172">
        <v>6.3209128165691828</v>
      </c>
      <c r="G172">
        <v>1667.5880442017819</v>
      </c>
      <c r="H172">
        <v>0</v>
      </c>
      <c r="I172">
        <v>0.7</v>
      </c>
      <c r="J172" t="b">
        <v>1</v>
      </c>
      <c r="K172">
        <v>1E+19</v>
      </c>
      <c r="L172">
        <v>0.3</v>
      </c>
      <c r="M172" t="b">
        <v>1</v>
      </c>
      <c r="N172">
        <v>100000000000</v>
      </c>
      <c r="O172">
        <v>0.36344570599851272</v>
      </c>
      <c r="P172">
        <v>0.1876149157470795</v>
      </c>
      <c r="Q172">
        <v>0.129346396743411</v>
      </c>
      <c r="R172" t="s">
        <v>368</v>
      </c>
      <c r="S172" t="s">
        <v>369</v>
      </c>
      <c r="T172">
        <v>1.289935148733321</v>
      </c>
      <c r="U172">
        <v>227.23010934254421</v>
      </c>
      <c r="V172">
        <v>200.07634200868</v>
      </c>
    </row>
    <row r="173" spans="1:26" hidden="1" x14ac:dyDescent="0.2">
      <c r="A173" t="s">
        <v>180</v>
      </c>
      <c r="B173" t="s">
        <v>61</v>
      </c>
      <c r="C173">
        <v>2.8</v>
      </c>
      <c r="D173">
        <v>60</v>
      </c>
      <c r="E173">
        <v>7.02008679564711</v>
      </c>
      <c r="F173">
        <v>6.3225775096582426</v>
      </c>
      <c r="G173">
        <v>1663.0962682017839</v>
      </c>
      <c r="H173">
        <v>0</v>
      </c>
      <c r="I173">
        <v>0.7</v>
      </c>
      <c r="J173" t="b">
        <v>1</v>
      </c>
      <c r="K173">
        <v>1E+20</v>
      </c>
      <c r="L173">
        <v>0.3</v>
      </c>
      <c r="M173" t="b">
        <v>1</v>
      </c>
      <c r="N173">
        <v>100000000000</v>
      </c>
      <c r="O173">
        <v>0.36375598705407908</v>
      </c>
      <c r="P173">
        <v>0.1870633941896413</v>
      </c>
      <c r="Q173">
        <v>0.12894400790065391</v>
      </c>
      <c r="R173" t="s">
        <v>370</v>
      </c>
      <c r="S173" t="s">
        <v>371</v>
      </c>
      <c r="T173">
        <v>1.289935148733321</v>
      </c>
      <c r="U173">
        <v>213.81521382580601</v>
      </c>
      <c r="V173">
        <v>200.15518751245779</v>
      </c>
    </row>
    <row r="174" spans="1:26" hidden="1" x14ac:dyDescent="0.2">
      <c r="A174" t="s">
        <v>180</v>
      </c>
      <c r="B174" t="s">
        <v>61</v>
      </c>
      <c r="C174">
        <v>2.8</v>
      </c>
      <c r="D174">
        <v>60</v>
      </c>
      <c r="E174">
        <v>7.02008679564711</v>
      </c>
      <c r="F174">
        <v>6.3225775096582426</v>
      </c>
      <c r="G174">
        <v>1663.0962682017839</v>
      </c>
      <c r="H174">
        <v>0</v>
      </c>
      <c r="I174">
        <v>0.7</v>
      </c>
      <c r="J174" t="b">
        <v>1</v>
      </c>
      <c r="K174">
        <v>1E+19</v>
      </c>
      <c r="L174">
        <v>0.3</v>
      </c>
      <c r="M174" t="b">
        <v>1</v>
      </c>
      <c r="N174">
        <v>100000000000</v>
      </c>
      <c r="O174">
        <v>0.36375598705407908</v>
      </c>
      <c r="P174">
        <v>0.1870633941896413</v>
      </c>
      <c r="Q174">
        <v>0.12894400790065391</v>
      </c>
      <c r="R174" t="s">
        <v>372</v>
      </c>
      <c r="S174" t="s">
        <v>373</v>
      </c>
      <c r="T174">
        <v>1.289935148733321</v>
      </c>
      <c r="U174">
        <v>227.16217551104569</v>
      </c>
      <c r="V174">
        <v>200.15518751245779</v>
      </c>
    </row>
    <row r="175" spans="1:26" hidden="1" x14ac:dyDescent="0.2">
      <c r="A175" t="s">
        <v>180</v>
      </c>
      <c r="B175" t="s">
        <v>61</v>
      </c>
      <c r="C175">
        <v>2.8</v>
      </c>
      <c r="D175">
        <v>55</v>
      </c>
      <c r="E175">
        <v>7.0161582492971277</v>
      </c>
      <c r="F175">
        <v>6.324225798351983</v>
      </c>
      <c r="G175">
        <v>1658.604492201785</v>
      </c>
      <c r="H175">
        <v>0</v>
      </c>
      <c r="I175">
        <v>0.7</v>
      </c>
      <c r="J175" t="b">
        <v>1</v>
      </c>
      <c r="K175">
        <v>1E+20</v>
      </c>
      <c r="L175">
        <v>0.3</v>
      </c>
      <c r="M175" t="b">
        <v>1</v>
      </c>
      <c r="N175">
        <v>100000000000</v>
      </c>
      <c r="O175">
        <v>0.36406864137348122</v>
      </c>
      <c r="P175">
        <v>0.18650856108223199</v>
      </c>
      <c r="Q175">
        <v>0.12854566701095169</v>
      </c>
      <c r="R175" t="s">
        <v>374</v>
      </c>
      <c r="S175" t="s">
        <v>375</v>
      </c>
      <c r="T175">
        <v>1.289935148733321</v>
      </c>
      <c r="U175">
        <v>213.8182219398235</v>
      </c>
      <c r="V175">
        <v>200.23312578282551</v>
      </c>
    </row>
    <row r="176" spans="1:26" hidden="1" x14ac:dyDescent="0.2">
      <c r="A176" t="s">
        <v>180</v>
      </c>
      <c r="B176" t="s">
        <v>61</v>
      </c>
      <c r="C176">
        <v>2.8</v>
      </c>
      <c r="D176">
        <v>55</v>
      </c>
      <c r="E176">
        <v>7.0161582492971277</v>
      </c>
      <c r="F176">
        <v>6.324225798351983</v>
      </c>
      <c r="G176">
        <v>1658.604492201785</v>
      </c>
      <c r="H176">
        <v>0</v>
      </c>
      <c r="I176">
        <v>0.7</v>
      </c>
      <c r="J176" t="b">
        <v>1</v>
      </c>
      <c r="K176">
        <v>1E+19</v>
      </c>
      <c r="L176">
        <v>0.3</v>
      </c>
      <c r="M176" t="b">
        <v>1</v>
      </c>
      <c r="N176">
        <v>100000000000</v>
      </c>
      <c r="O176">
        <v>0.36406864137348122</v>
      </c>
      <c r="P176">
        <v>0.18650856108223199</v>
      </c>
      <c r="Q176">
        <v>0.12854566701095169</v>
      </c>
      <c r="R176" t="s">
        <v>376</v>
      </c>
      <c r="S176" t="s">
        <v>377</v>
      </c>
      <c r="T176">
        <v>1.289935148733321</v>
      </c>
      <c r="U176">
        <v>227.09479227892021</v>
      </c>
      <c r="V176">
        <v>200.23312578282551</v>
      </c>
    </row>
    <row r="177" spans="1:22" hidden="1" x14ac:dyDescent="0.2">
      <c r="A177" t="s">
        <v>180</v>
      </c>
      <c r="B177" t="s">
        <v>61</v>
      </c>
      <c r="C177">
        <v>2.8</v>
      </c>
      <c r="D177">
        <v>50</v>
      </c>
      <c r="E177">
        <v>7.0175819430156396</v>
      </c>
      <c r="F177">
        <v>6.3260487744259786</v>
      </c>
      <c r="G177">
        <v>1653.7737242017861</v>
      </c>
      <c r="H177">
        <v>0</v>
      </c>
      <c r="I177">
        <v>0.7</v>
      </c>
      <c r="J177" t="b">
        <v>1</v>
      </c>
      <c r="K177">
        <v>1E+20</v>
      </c>
      <c r="L177">
        <v>0.3</v>
      </c>
      <c r="M177" t="b">
        <v>1</v>
      </c>
      <c r="N177">
        <v>100000000000</v>
      </c>
      <c r="O177">
        <v>0.3643770833118346</v>
      </c>
      <c r="P177">
        <v>0.18596623652307689</v>
      </c>
      <c r="Q177">
        <v>0.12810690790657511</v>
      </c>
      <c r="R177" t="s">
        <v>378</v>
      </c>
      <c r="S177" t="s">
        <v>379</v>
      </c>
      <c r="T177">
        <v>1.289935148733321</v>
      </c>
      <c r="U177">
        <v>213.8150424721353</v>
      </c>
      <c r="V177">
        <v>200.31315135456799</v>
      </c>
    </row>
    <row r="178" spans="1:22" hidden="1" x14ac:dyDescent="0.2">
      <c r="A178" t="s">
        <v>180</v>
      </c>
      <c r="B178" t="s">
        <v>61</v>
      </c>
      <c r="C178">
        <v>2.8</v>
      </c>
      <c r="D178">
        <v>50</v>
      </c>
      <c r="E178">
        <v>7.0175819430156396</v>
      </c>
      <c r="F178">
        <v>6.3260487744259786</v>
      </c>
      <c r="G178">
        <v>1653.7737242017861</v>
      </c>
      <c r="H178">
        <v>0</v>
      </c>
      <c r="I178">
        <v>0.7</v>
      </c>
      <c r="J178" t="b">
        <v>1</v>
      </c>
      <c r="K178">
        <v>1E+19</v>
      </c>
      <c r="L178">
        <v>0.3</v>
      </c>
      <c r="M178" t="b">
        <v>1</v>
      </c>
      <c r="N178">
        <v>100000000000</v>
      </c>
      <c r="O178">
        <v>0.3643770833118346</v>
      </c>
      <c r="P178">
        <v>0.18596623652307689</v>
      </c>
      <c r="Q178">
        <v>0.12810690790657511</v>
      </c>
      <c r="R178" t="s">
        <v>380</v>
      </c>
      <c r="S178" t="s">
        <v>381</v>
      </c>
      <c r="T178">
        <v>1.289935148733321</v>
      </c>
      <c r="U178">
        <v>227.01240404537339</v>
      </c>
      <c r="V178">
        <v>200.31315135456799</v>
      </c>
    </row>
    <row r="179" spans="1:22" hidden="1" x14ac:dyDescent="0.2">
      <c r="A179" t="s">
        <v>180</v>
      </c>
      <c r="B179" t="s">
        <v>61</v>
      </c>
      <c r="C179">
        <v>2.9</v>
      </c>
      <c r="D179">
        <v>70</v>
      </c>
      <c r="E179">
        <v>7.0175885884285609</v>
      </c>
      <c r="F179">
        <v>6.3233319113555408</v>
      </c>
      <c r="G179">
        <v>1660.893084201783</v>
      </c>
      <c r="H179">
        <v>0</v>
      </c>
      <c r="I179">
        <v>0.7</v>
      </c>
      <c r="J179" t="b">
        <v>1</v>
      </c>
      <c r="K179">
        <v>1E+20</v>
      </c>
      <c r="L179">
        <v>0.3</v>
      </c>
      <c r="M179" t="b">
        <v>1</v>
      </c>
      <c r="N179">
        <v>100000000000</v>
      </c>
      <c r="O179">
        <v>0.36393173675282481</v>
      </c>
      <c r="P179">
        <v>0.18678898076850539</v>
      </c>
      <c r="Q179">
        <v>0.12877995294416419</v>
      </c>
      <c r="R179" t="s">
        <v>382</v>
      </c>
      <c r="S179" t="s">
        <v>383</v>
      </c>
      <c r="T179">
        <v>1.289935148733321</v>
      </c>
      <c r="U179">
        <v>213.80545905518241</v>
      </c>
      <c r="V179">
        <v>200.1991193147893</v>
      </c>
    </row>
    <row r="180" spans="1:22" hidden="1" x14ac:dyDescent="0.2">
      <c r="A180" t="s">
        <v>180</v>
      </c>
      <c r="B180" t="s">
        <v>61</v>
      </c>
      <c r="C180">
        <v>2.9</v>
      </c>
      <c r="D180">
        <v>70</v>
      </c>
      <c r="E180">
        <v>7.0175885884285609</v>
      </c>
      <c r="F180">
        <v>6.3233319113555408</v>
      </c>
      <c r="G180">
        <v>1660.893084201783</v>
      </c>
      <c r="H180">
        <v>0</v>
      </c>
      <c r="I180">
        <v>0.7</v>
      </c>
      <c r="J180" t="b">
        <v>1</v>
      </c>
      <c r="K180">
        <v>1E+19</v>
      </c>
      <c r="L180">
        <v>0.3</v>
      </c>
      <c r="M180" t="b">
        <v>1</v>
      </c>
      <c r="N180">
        <v>100000000000</v>
      </c>
      <c r="O180">
        <v>0.36393173675282481</v>
      </c>
      <c r="P180">
        <v>0.18678898076850539</v>
      </c>
      <c r="Q180">
        <v>0.12877995294416419</v>
      </c>
      <c r="R180" t="s">
        <v>384</v>
      </c>
      <c r="S180" t="s">
        <v>385</v>
      </c>
      <c r="T180">
        <v>1.289935148733321</v>
      </c>
      <c r="U180">
        <v>227.05459340259719</v>
      </c>
      <c r="V180">
        <v>200.1991193147893</v>
      </c>
    </row>
    <row r="181" spans="1:22" hidden="1" x14ac:dyDescent="0.2">
      <c r="A181" t="s">
        <v>180</v>
      </c>
      <c r="B181" t="s">
        <v>61</v>
      </c>
      <c r="C181">
        <v>2.9</v>
      </c>
      <c r="D181">
        <v>65</v>
      </c>
      <c r="E181">
        <v>7.01608953397698</v>
      </c>
      <c r="F181">
        <v>6.3247512990993746</v>
      </c>
      <c r="G181">
        <v>1657.0792922017829</v>
      </c>
      <c r="H181">
        <v>0</v>
      </c>
      <c r="I181">
        <v>0.7</v>
      </c>
      <c r="J181" t="b">
        <v>1</v>
      </c>
      <c r="K181">
        <v>1E+20</v>
      </c>
      <c r="L181">
        <v>0.3</v>
      </c>
      <c r="M181" t="b">
        <v>1</v>
      </c>
      <c r="N181">
        <v>100000000000</v>
      </c>
      <c r="O181">
        <v>0.36418553581018848</v>
      </c>
      <c r="P181">
        <v>0.18633499179550231</v>
      </c>
      <c r="Q181">
        <v>0.12843563655761431</v>
      </c>
      <c r="R181" t="s">
        <v>386</v>
      </c>
      <c r="S181" t="s">
        <v>387</v>
      </c>
      <c r="T181">
        <v>1.289935148733321</v>
      </c>
      <c r="U181">
        <v>213.80656771028839</v>
      </c>
      <c r="V181">
        <v>200.26359720396661</v>
      </c>
    </row>
    <row r="182" spans="1:22" hidden="1" x14ac:dyDescent="0.2">
      <c r="A182" t="s">
        <v>180</v>
      </c>
      <c r="B182" t="s">
        <v>61</v>
      </c>
      <c r="C182">
        <v>2.9</v>
      </c>
      <c r="D182">
        <v>65</v>
      </c>
      <c r="E182">
        <v>7.01608953397698</v>
      </c>
      <c r="F182">
        <v>6.3247512990993746</v>
      </c>
      <c r="G182">
        <v>1657.0792922017829</v>
      </c>
      <c r="H182">
        <v>0</v>
      </c>
      <c r="I182">
        <v>0.7</v>
      </c>
      <c r="J182" t="b">
        <v>1</v>
      </c>
      <c r="K182">
        <v>1E+19</v>
      </c>
      <c r="L182">
        <v>0.3</v>
      </c>
      <c r="M182" t="b">
        <v>1</v>
      </c>
      <c r="N182">
        <v>100000000000</v>
      </c>
      <c r="O182">
        <v>0.36418553581018848</v>
      </c>
      <c r="P182">
        <v>0.18633499179550231</v>
      </c>
      <c r="Q182">
        <v>0.12843563655761431</v>
      </c>
      <c r="R182" t="s">
        <v>388</v>
      </c>
      <c r="S182" t="s">
        <v>389</v>
      </c>
      <c r="T182">
        <v>1.289935148733321</v>
      </c>
      <c r="U182">
        <v>227.0002934449472</v>
      </c>
      <c r="V182">
        <v>200.26359720396661</v>
      </c>
    </row>
    <row r="183" spans="1:22" hidden="1" x14ac:dyDescent="0.2">
      <c r="A183" t="s">
        <v>180</v>
      </c>
      <c r="B183" t="s">
        <v>61</v>
      </c>
      <c r="C183">
        <v>2.9</v>
      </c>
      <c r="D183">
        <v>60</v>
      </c>
      <c r="E183">
        <v>7.0143151270366211</v>
      </c>
      <c r="F183">
        <v>6.3261603762486702</v>
      </c>
      <c r="G183">
        <v>1653.265500201785</v>
      </c>
      <c r="H183">
        <v>0</v>
      </c>
      <c r="I183">
        <v>0.7</v>
      </c>
      <c r="J183" t="b">
        <v>1</v>
      </c>
      <c r="K183">
        <v>1E+20</v>
      </c>
      <c r="L183">
        <v>0.3</v>
      </c>
      <c r="M183" t="b">
        <v>1</v>
      </c>
      <c r="N183">
        <v>100000000000</v>
      </c>
      <c r="O183">
        <v>0.36444099668304902</v>
      </c>
      <c r="P183">
        <v>0.18587910908877811</v>
      </c>
      <c r="Q183">
        <v>0.128094312017621</v>
      </c>
      <c r="R183" t="s">
        <v>390</v>
      </c>
      <c r="S183" t="s">
        <v>391</v>
      </c>
      <c r="T183">
        <v>1.289935148733321</v>
      </c>
      <c r="U183">
        <v>213.8075428980533</v>
      </c>
      <c r="V183">
        <v>200.32744492559939</v>
      </c>
    </row>
    <row r="184" spans="1:22" hidden="1" x14ac:dyDescent="0.2">
      <c r="A184" t="s">
        <v>180</v>
      </c>
      <c r="B184" t="s">
        <v>61</v>
      </c>
      <c r="C184">
        <v>2.9</v>
      </c>
      <c r="D184">
        <v>60</v>
      </c>
      <c r="E184">
        <v>7.0143151270366211</v>
      </c>
      <c r="F184">
        <v>6.3261603762486702</v>
      </c>
      <c r="G184">
        <v>1653.265500201785</v>
      </c>
      <c r="H184">
        <v>0</v>
      </c>
      <c r="I184">
        <v>0.7</v>
      </c>
      <c r="J184" t="b">
        <v>1</v>
      </c>
      <c r="K184">
        <v>1E+19</v>
      </c>
      <c r="L184">
        <v>0.3</v>
      </c>
      <c r="M184" t="b">
        <v>1</v>
      </c>
      <c r="N184">
        <v>100000000000</v>
      </c>
      <c r="O184">
        <v>0.36444099668304902</v>
      </c>
      <c r="P184">
        <v>0.18587910908877811</v>
      </c>
      <c r="Q184">
        <v>0.128094312017621</v>
      </c>
      <c r="R184" t="s">
        <v>392</v>
      </c>
      <c r="S184" t="s">
        <v>393</v>
      </c>
      <c r="T184">
        <v>1.289935148733321</v>
      </c>
      <c r="U184">
        <v>226.94625910176481</v>
      </c>
      <c r="V184">
        <v>200.32744492559939</v>
      </c>
    </row>
    <row r="185" spans="1:22" hidden="1" x14ac:dyDescent="0.2">
      <c r="A185" t="s">
        <v>180</v>
      </c>
      <c r="B185" t="s">
        <v>61</v>
      </c>
      <c r="C185">
        <v>2.7</v>
      </c>
      <c r="D185">
        <v>50</v>
      </c>
      <c r="E185">
        <v>7.1886931640526033</v>
      </c>
      <c r="F185">
        <v>6.5009533130727064</v>
      </c>
      <c r="G185">
        <v>1625.698853058663</v>
      </c>
      <c r="H185">
        <v>0</v>
      </c>
      <c r="I185">
        <v>0.6</v>
      </c>
      <c r="J185" t="b">
        <v>1</v>
      </c>
      <c r="K185">
        <v>1E+19</v>
      </c>
      <c r="L185">
        <v>0.3</v>
      </c>
      <c r="M185" t="b">
        <v>1</v>
      </c>
      <c r="N185">
        <v>100000000000</v>
      </c>
      <c r="O185">
        <v>0.36351486381114623</v>
      </c>
      <c r="P185">
        <v>0.1836998699026556</v>
      </c>
      <c r="Q185">
        <v>0.12416757459748309</v>
      </c>
      <c r="R185" t="s">
        <v>394</v>
      </c>
      <c r="S185" t="s">
        <v>395</v>
      </c>
      <c r="T185">
        <v>1.289935148733321</v>
      </c>
      <c r="U185">
        <v>225.3982597950731</v>
      </c>
      <c r="V185">
        <v>200.24818006592989</v>
      </c>
    </row>
    <row r="186" spans="1:22" hidden="1" x14ac:dyDescent="0.2">
      <c r="A186" t="s">
        <v>180</v>
      </c>
      <c r="B186" t="s">
        <v>61</v>
      </c>
      <c r="C186">
        <v>2.7</v>
      </c>
      <c r="D186">
        <v>50</v>
      </c>
      <c r="E186">
        <v>7.1886931640526033</v>
      </c>
      <c r="F186">
        <v>6.5009533130727064</v>
      </c>
      <c r="G186">
        <v>1625.698853058663</v>
      </c>
      <c r="H186">
        <v>0</v>
      </c>
      <c r="I186">
        <v>0.6</v>
      </c>
      <c r="J186" t="b">
        <v>1</v>
      </c>
      <c r="K186">
        <v>1E+18</v>
      </c>
      <c r="L186">
        <v>0.3</v>
      </c>
      <c r="M186" t="b">
        <v>1</v>
      </c>
      <c r="N186">
        <v>100000000000</v>
      </c>
      <c r="O186">
        <v>0.36351486381114623</v>
      </c>
      <c r="P186">
        <v>0.1836998699026556</v>
      </c>
      <c r="Q186">
        <v>0.12416757459748309</v>
      </c>
      <c r="R186" t="s">
        <v>396</v>
      </c>
      <c r="S186" t="s">
        <v>397</v>
      </c>
      <c r="T186">
        <v>1.289935148733321</v>
      </c>
      <c r="U186">
        <v>289.52031424154552</v>
      </c>
      <c r="V186">
        <v>200.24818006592989</v>
      </c>
    </row>
    <row r="187" spans="1:22" hidden="1" x14ac:dyDescent="0.2">
      <c r="A187" t="s">
        <v>180</v>
      </c>
      <c r="B187" t="s">
        <v>61</v>
      </c>
      <c r="C187">
        <v>2.7</v>
      </c>
      <c r="D187">
        <v>45</v>
      </c>
      <c r="E187">
        <v>7.1837088821672133</v>
      </c>
      <c r="F187">
        <v>6.5026819532023161</v>
      </c>
      <c r="G187">
        <v>1620.553670097933</v>
      </c>
      <c r="H187">
        <v>0</v>
      </c>
      <c r="I187">
        <v>0.6</v>
      </c>
      <c r="J187" t="b">
        <v>1</v>
      </c>
      <c r="K187">
        <v>1E+19</v>
      </c>
      <c r="L187">
        <v>0.3</v>
      </c>
      <c r="M187" t="b">
        <v>1</v>
      </c>
      <c r="N187">
        <v>100000000000</v>
      </c>
      <c r="O187">
        <v>0.36389126817509021</v>
      </c>
      <c r="P187">
        <v>0.18306575390029001</v>
      </c>
      <c r="Q187">
        <v>0.1237793681948245</v>
      </c>
      <c r="R187" t="s">
        <v>398</v>
      </c>
      <c r="S187" t="s">
        <v>399</v>
      </c>
      <c r="T187">
        <v>1.289935148733321</v>
      </c>
      <c r="U187">
        <v>225.2937811344616</v>
      </c>
      <c r="V187">
        <v>200.3384383949373</v>
      </c>
    </row>
    <row r="188" spans="1:22" hidden="1" x14ac:dyDescent="0.2">
      <c r="A188" t="s">
        <v>180</v>
      </c>
      <c r="B188" t="s">
        <v>61</v>
      </c>
      <c r="C188">
        <v>2.7</v>
      </c>
      <c r="D188">
        <v>45</v>
      </c>
      <c r="E188">
        <v>7.1837088821672133</v>
      </c>
      <c r="F188">
        <v>6.5026819532023161</v>
      </c>
      <c r="G188">
        <v>1620.553670097933</v>
      </c>
      <c r="H188">
        <v>0</v>
      </c>
      <c r="I188">
        <v>0.6</v>
      </c>
      <c r="J188" t="b">
        <v>1</v>
      </c>
      <c r="K188">
        <v>1E+18</v>
      </c>
      <c r="L188">
        <v>0.3</v>
      </c>
      <c r="M188" t="b">
        <v>1</v>
      </c>
      <c r="N188">
        <v>100000000000</v>
      </c>
      <c r="O188">
        <v>0.36389126817509021</v>
      </c>
      <c r="P188">
        <v>0.18306575390029001</v>
      </c>
      <c r="Q188">
        <v>0.1237793681948245</v>
      </c>
      <c r="R188" t="s">
        <v>400</v>
      </c>
      <c r="S188" t="s">
        <v>401</v>
      </c>
      <c r="T188">
        <v>1.289935148733321</v>
      </c>
      <c r="U188">
        <v>286.82540612772277</v>
      </c>
      <c r="V188">
        <v>200.3384383949373</v>
      </c>
    </row>
    <row r="189" spans="1:22" hidden="1" x14ac:dyDescent="0.2">
      <c r="A189" t="s">
        <v>180</v>
      </c>
      <c r="B189" t="s">
        <v>61</v>
      </c>
      <c r="C189">
        <v>2.7</v>
      </c>
      <c r="D189">
        <v>40</v>
      </c>
      <c r="E189">
        <v>7.178763889708411</v>
      </c>
      <c r="F189">
        <v>6.5044002439308102</v>
      </c>
      <c r="G189">
        <v>1615.3709100098829</v>
      </c>
      <c r="H189">
        <v>0</v>
      </c>
      <c r="I189">
        <v>0.6</v>
      </c>
      <c r="J189" t="b">
        <v>1</v>
      </c>
      <c r="K189">
        <v>1E+19</v>
      </c>
      <c r="L189">
        <v>0.3</v>
      </c>
      <c r="M189" t="b">
        <v>1</v>
      </c>
      <c r="N189">
        <v>100000000000</v>
      </c>
      <c r="O189">
        <v>0.36427002454211038</v>
      </c>
      <c r="P189">
        <v>0.18242844697007329</v>
      </c>
      <c r="Q189">
        <v>0.1233710188138601</v>
      </c>
      <c r="R189" t="s">
        <v>402</v>
      </c>
      <c r="S189" t="s">
        <v>403</v>
      </c>
      <c r="T189">
        <v>1.289935148733321</v>
      </c>
      <c r="U189">
        <v>225.22557342359869</v>
      </c>
      <c r="V189">
        <v>200.4243541774236</v>
      </c>
    </row>
    <row r="190" spans="1:22" hidden="1" x14ac:dyDescent="0.2">
      <c r="A190" t="s">
        <v>180</v>
      </c>
      <c r="B190" t="s">
        <v>61</v>
      </c>
      <c r="C190">
        <v>2.7</v>
      </c>
      <c r="D190">
        <v>40</v>
      </c>
      <c r="E190">
        <v>7.178763889708411</v>
      </c>
      <c r="F190">
        <v>6.5044002439308102</v>
      </c>
      <c r="G190">
        <v>1615.3709100098829</v>
      </c>
      <c r="H190">
        <v>0</v>
      </c>
      <c r="I190">
        <v>0.6</v>
      </c>
      <c r="J190" t="b">
        <v>1</v>
      </c>
      <c r="K190">
        <v>1E+18</v>
      </c>
      <c r="L190">
        <v>0.3</v>
      </c>
      <c r="M190" t="b">
        <v>1</v>
      </c>
      <c r="N190">
        <v>100000000000</v>
      </c>
      <c r="O190">
        <v>0.36427002454211038</v>
      </c>
      <c r="P190">
        <v>0.18242844697007329</v>
      </c>
      <c r="Q190">
        <v>0.1233710188138601</v>
      </c>
      <c r="R190" t="s">
        <v>404</v>
      </c>
      <c r="S190" t="s">
        <v>405</v>
      </c>
      <c r="T190">
        <v>1.289935148733321</v>
      </c>
      <c r="U190">
        <v>285.27760972455161</v>
      </c>
      <c r="V190">
        <v>200.4243541774236</v>
      </c>
    </row>
    <row r="191" spans="1:22" hidden="1" x14ac:dyDescent="0.2">
      <c r="A191" t="s">
        <v>180</v>
      </c>
      <c r="B191" t="s">
        <v>61</v>
      </c>
      <c r="C191">
        <v>2.8</v>
      </c>
      <c r="D191">
        <v>60</v>
      </c>
      <c r="E191">
        <v>7.1895257492797606</v>
      </c>
      <c r="F191">
        <v>6.5006128213296481</v>
      </c>
      <c r="G191">
        <v>1626.594350876233</v>
      </c>
      <c r="H191">
        <v>0</v>
      </c>
      <c r="I191">
        <v>0.6</v>
      </c>
      <c r="J191" t="b">
        <v>1</v>
      </c>
      <c r="K191">
        <v>1E+19</v>
      </c>
      <c r="L191">
        <v>0.3</v>
      </c>
      <c r="M191" t="b">
        <v>1</v>
      </c>
      <c r="N191">
        <v>100000000000</v>
      </c>
      <c r="O191">
        <v>0.3634644217562143</v>
      </c>
      <c r="P191">
        <v>0.1838123398928502</v>
      </c>
      <c r="Q191">
        <v>0.1242543401152427</v>
      </c>
      <c r="R191" t="s">
        <v>406</v>
      </c>
      <c r="S191" t="s">
        <v>407</v>
      </c>
      <c r="T191">
        <v>1.289935148733321</v>
      </c>
      <c r="U191">
        <v>225.3175678750394</v>
      </c>
      <c r="V191">
        <v>200.2356167503186</v>
      </c>
    </row>
    <row r="192" spans="1:22" hidden="1" x14ac:dyDescent="0.2">
      <c r="A192" t="s">
        <v>180</v>
      </c>
      <c r="B192" t="s">
        <v>61</v>
      </c>
      <c r="C192">
        <v>2.8</v>
      </c>
      <c r="D192">
        <v>60</v>
      </c>
      <c r="E192">
        <v>7.1895257492797606</v>
      </c>
      <c r="F192">
        <v>6.5006128213296481</v>
      </c>
      <c r="G192">
        <v>1626.594350876233</v>
      </c>
      <c r="H192">
        <v>0</v>
      </c>
      <c r="I192">
        <v>0.6</v>
      </c>
      <c r="J192" t="b">
        <v>1</v>
      </c>
      <c r="K192">
        <v>1E+18</v>
      </c>
      <c r="L192">
        <v>0.3</v>
      </c>
      <c r="M192" t="b">
        <v>1</v>
      </c>
      <c r="N192">
        <v>100000000000</v>
      </c>
      <c r="O192">
        <v>0.3634644217562143</v>
      </c>
      <c r="P192">
        <v>0.1838123398928502</v>
      </c>
      <c r="Q192">
        <v>0.1242543401152427</v>
      </c>
      <c r="R192" t="s">
        <v>408</v>
      </c>
      <c r="S192" t="s">
        <v>409</v>
      </c>
      <c r="T192">
        <v>1.289935148733321</v>
      </c>
      <c r="U192">
        <v>288.37435261599319</v>
      </c>
      <c r="V192">
        <v>200.2356167503186</v>
      </c>
    </row>
    <row r="193" spans="1:22" hidden="1" x14ac:dyDescent="0.2">
      <c r="A193" t="s">
        <v>180</v>
      </c>
      <c r="B193" t="s">
        <v>61</v>
      </c>
      <c r="C193">
        <v>2.8</v>
      </c>
      <c r="D193">
        <v>55</v>
      </c>
      <c r="E193">
        <v>7.1853017949392539</v>
      </c>
      <c r="F193">
        <v>6.5020852973399563</v>
      </c>
      <c r="G193">
        <v>1622.2312168674509</v>
      </c>
      <c r="H193">
        <v>0</v>
      </c>
      <c r="I193">
        <v>0.6</v>
      </c>
      <c r="J193" t="b">
        <v>1</v>
      </c>
      <c r="K193">
        <v>1E+19</v>
      </c>
      <c r="L193">
        <v>0.3</v>
      </c>
      <c r="M193" t="b">
        <v>1</v>
      </c>
      <c r="N193">
        <v>100000000000</v>
      </c>
      <c r="O193">
        <v>0.36378126045371861</v>
      </c>
      <c r="P193">
        <v>0.18327405245752171</v>
      </c>
      <c r="Q193">
        <v>0.1239359714411505</v>
      </c>
      <c r="R193" t="s">
        <v>410</v>
      </c>
      <c r="S193" t="s">
        <v>411</v>
      </c>
      <c r="T193">
        <v>1.289935148733321</v>
      </c>
      <c r="U193">
        <v>225.26170727863851</v>
      </c>
      <c r="V193">
        <v>200.31444208713819</v>
      </c>
    </row>
    <row r="194" spans="1:22" hidden="1" x14ac:dyDescent="0.2">
      <c r="A194" t="s">
        <v>180</v>
      </c>
      <c r="B194" t="s">
        <v>61</v>
      </c>
      <c r="C194">
        <v>2.8</v>
      </c>
      <c r="D194">
        <v>55</v>
      </c>
      <c r="E194">
        <v>7.1853017949392539</v>
      </c>
      <c r="F194">
        <v>6.5020852973399563</v>
      </c>
      <c r="G194">
        <v>1622.2312168674509</v>
      </c>
      <c r="H194">
        <v>0</v>
      </c>
      <c r="I194">
        <v>0.6</v>
      </c>
      <c r="J194" t="b">
        <v>1</v>
      </c>
      <c r="K194">
        <v>1E+18</v>
      </c>
      <c r="L194">
        <v>0.3</v>
      </c>
      <c r="M194" t="b">
        <v>1</v>
      </c>
      <c r="N194">
        <v>100000000000</v>
      </c>
      <c r="O194">
        <v>0.36378126045371861</v>
      </c>
      <c r="P194">
        <v>0.18327405245752171</v>
      </c>
      <c r="Q194">
        <v>0.1239359714411505</v>
      </c>
      <c r="R194" t="s">
        <v>412</v>
      </c>
      <c r="S194" t="s">
        <v>413</v>
      </c>
      <c r="T194">
        <v>1.289935148733321</v>
      </c>
      <c r="U194">
        <v>287.42504698352002</v>
      </c>
      <c r="V194">
        <v>200.31444208713819</v>
      </c>
    </row>
    <row r="195" spans="1:22" hidden="1" x14ac:dyDescent="0.2">
      <c r="A195" t="s">
        <v>180</v>
      </c>
      <c r="B195" t="s">
        <v>61</v>
      </c>
      <c r="C195">
        <v>2.8</v>
      </c>
      <c r="D195">
        <v>50</v>
      </c>
      <c r="E195">
        <v>7.1810908688121229</v>
      </c>
      <c r="F195">
        <v>6.503556589031537</v>
      </c>
      <c r="G195">
        <v>1617.8424717143739</v>
      </c>
      <c r="H195">
        <v>0</v>
      </c>
      <c r="I195">
        <v>0.6</v>
      </c>
      <c r="J195" t="b">
        <v>1</v>
      </c>
      <c r="K195">
        <v>1E+19</v>
      </c>
      <c r="L195">
        <v>0.3</v>
      </c>
      <c r="M195" t="b">
        <v>1</v>
      </c>
      <c r="N195">
        <v>100000000000</v>
      </c>
      <c r="O195">
        <v>0.36409993958436587</v>
      </c>
      <c r="P195">
        <v>0.1827335955350721</v>
      </c>
      <c r="Q195">
        <v>0.12355622114006939</v>
      </c>
      <c r="R195" t="s">
        <v>414</v>
      </c>
      <c r="S195" t="s">
        <v>415</v>
      </c>
      <c r="T195">
        <v>1.289935148733321</v>
      </c>
      <c r="U195">
        <v>225.21848103752899</v>
      </c>
      <c r="V195">
        <v>200.38203598535659</v>
      </c>
    </row>
    <row r="196" spans="1:22" hidden="1" x14ac:dyDescent="0.2">
      <c r="A196" t="s">
        <v>180</v>
      </c>
      <c r="B196" t="s">
        <v>61</v>
      </c>
      <c r="C196">
        <v>2.8</v>
      </c>
      <c r="D196">
        <v>50</v>
      </c>
      <c r="E196">
        <v>7.1810908688121229</v>
      </c>
      <c r="F196">
        <v>6.503556589031537</v>
      </c>
      <c r="G196">
        <v>1617.8424717143739</v>
      </c>
      <c r="H196">
        <v>0</v>
      </c>
      <c r="I196">
        <v>0.6</v>
      </c>
      <c r="J196" t="b">
        <v>1</v>
      </c>
      <c r="K196">
        <v>1E+18</v>
      </c>
      <c r="L196">
        <v>0.3</v>
      </c>
      <c r="M196" t="b">
        <v>1</v>
      </c>
      <c r="N196">
        <v>100000000000</v>
      </c>
      <c r="O196">
        <v>0.36409993958436587</v>
      </c>
      <c r="P196">
        <v>0.1827335955350721</v>
      </c>
      <c r="Q196">
        <v>0.12355622114006939</v>
      </c>
      <c r="R196" t="s">
        <v>416</v>
      </c>
      <c r="S196" t="s">
        <v>417</v>
      </c>
      <c r="T196">
        <v>1.289935148733321</v>
      </c>
      <c r="U196">
        <v>284.48253575848599</v>
      </c>
      <c r="V196">
        <v>200.38203598535659</v>
      </c>
    </row>
    <row r="197" spans="1:22" hidden="1" x14ac:dyDescent="0.2">
      <c r="A197" t="s">
        <v>180</v>
      </c>
      <c r="B197" t="s">
        <v>61</v>
      </c>
      <c r="C197">
        <v>2.8</v>
      </c>
      <c r="D197">
        <v>45</v>
      </c>
      <c r="E197">
        <v>7.1828258848048394</v>
      </c>
      <c r="F197">
        <v>6.5052123028970001</v>
      </c>
      <c r="G197">
        <v>1613.0897576399309</v>
      </c>
      <c r="H197">
        <v>0</v>
      </c>
      <c r="I197">
        <v>0.6</v>
      </c>
      <c r="J197" t="b">
        <v>1</v>
      </c>
      <c r="K197">
        <v>1E+19</v>
      </c>
      <c r="L197">
        <v>0.3</v>
      </c>
      <c r="M197" t="b">
        <v>1</v>
      </c>
      <c r="N197">
        <v>100000000000</v>
      </c>
      <c r="O197">
        <v>0.36441405910262681</v>
      </c>
      <c r="P197">
        <v>0.18221021103222479</v>
      </c>
      <c r="Q197">
        <v>0.1231881647335322</v>
      </c>
      <c r="R197" t="s">
        <v>418</v>
      </c>
      <c r="S197" t="s">
        <v>419</v>
      </c>
      <c r="T197">
        <v>1.289935148733321</v>
      </c>
      <c r="U197">
        <v>225.18704594585569</v>
      </c>
      <c r="V197">
        <v>200.46079052042731</v>
      </c>
    </row>
    <row r="198" spans="1:22" hidden="1" x14ac:dyDescent="0.2">
      <c r="A198" t="s">
        <v>180</v>
      </c>
      <c r="B198" t="s">
        <v>61</v>
      </c>
      <c r="C198">
        <v>2.8</v>
      </c>
      <c r="D198">
        <v>45</v>
      </c>
      <c r="E198">
        <v>7.1828258848048394</v>
      </c>
      <c r="F198">
        <v>6.5052123028970001</v>
      </c>
      <c r="G198">
        <v>1613.0897576399309</v>
      </c>
      <c r="H198">
        <v>0</v>
      </c>
      <c r="I198">
        <v>0.6</v>
      </c>
      <c r="J198" t="b">
        <v>1</v>
      </c>
      <c r="K198">
        <v>1E+18</v>
      </c>
      <c r="L198">
        <v>0.3</v>
      </c>
      <c r="M198" t="b">
        <v>1</v>
      </c>
      <c r="N198">
        <v>100000000000</v>
      </c>
      <c r="O198">
        <v>0.36441405910262681</v>
      </c>
      <c r="P198">
        <v>0.18221021103222479</v>
      </c>
      <c r="Q198">
        <v>0.1231881647335322</v>
      </c>
      <c r="R198" t="s">
        <v>420</v>
      </c>
      <c r="S198" t="s">
        <v>421</v>
      </c>
      <c r="T198">
        <v>1.289935148733321</v>
      </c>
      <c r="U198">
        <v>282.99924860261962</v>
      </c>
      <c r="V198">
        <v>200.46079052042731</v>
      </c>
    </row>
    <row r="199" spans="1:22" hidden="1" x14ac:dyDescent="0.2">
      <c r="A199" t="s">
        <v>180</v>
      </c>
      <c r="B199" t="s">
        <v>61</v>
      </c>
      <c r="C199">
        <v>2.9</v>
      </c>
      <c r="D199">
        <v>70</v>
      </c>
      <c r="E199">
        <v>7.1873817496978232</v>
      </c>
      <c r="F199">
        <v>6.5012958883340932</v>
      </c>
      <c r="G199">
        <v>1624.425619669398</v>
      </c>
      <c r="H199">
        <v>0</v>
      </c>
      <c r="I199">
        <v>0.6</v>
      </c>
      <c r="J199" t="b">
        <v>1</v>
      </c>
      <c r="K199">
        <v>1E+19</v>
      </c>
      <c r="L199">
        <v>0.3</v>
      </c>
      <c r="M199" t="b">
        <v>1</v>
      </c>
      <c r="N199">
        <v>100000000000</v>
      </c>
      <c r="O199">
        <v>0.36364168204483149</v>
      </c>
      <c r="P199">
        <v>0.18354738477503299</v>
      </c>
      <c r="Q199">
        <v>0.12410944751005459</v>
      </c>
      <c r="R199" t="s">
        <v>422</v>
      </c>
      <c r="S199" t="s">
        <v>423</v>
      </c>
      <c r="T199">
        <v>1.289935148733321</v>
      </c>
      <c r="U199">
        <v>225.16813647919281</v>
      </c>
      <c r="V199">
        <v>200.27734662368289</v>
      </c>
    </row>
    <row r="200" spans="1:22" hidden="1" x14ac:dyDescent="0.2">
      <c r="A200" t="s">
        <v>180</v>
      </c>
      <c r="B200" t="s">
        <v>61</v>
      </c>
      <c r="C200">
        <v>2.9</v>
      </c>
      <c r="D200">
        <v>70</v>
      </c>
      <c r="E200">
        <v>7.1873817496978232</v>
      </c>
      <c r="F200">
        <v>6.5012958883340932</v>
      </c>
      <c r="G200">
        <v>1624.425619669398</v>
      </c>
      <c r="H200">
        <v>0</v>
      </c>
      <c r="I200">
        <v>0.6</v>
      </c>
      <c r="J200" t="b">
        <v>1</v>
      </c>
      <c r="K200">
        <v>1E+18</v>
      </c>
      <c r="L200">
        <v>0.3</v>
      </c>
      <c r="M200" t="b">
        <v>1</v>
      </c>
      <c r="N200">
        <v>100000000000</v>
      </c>
      <c r="O200">
        <v>0.36364168204483149</v>
      </c>
      <c r="P200">
        <v>0.18354738477503299</v>
      </c>
      <c r="Q200">
        <v>0.12410944751005459</v>
      </c>
      <c r="R200" t="s">
        <v>424</v>
      </c>
      <c r="S200" t="s">
        <v>425</v>
      </c>
      <c r="T200">
        <v>1.289935148733321</v>
      </c>
      <c r="U200">
        <v>289.86075991185652</v>
      </c>
      <c r="V200">
        <v>200.27734662368289</v>
      </c>
    </row>
    <row r="201" spans="1:22" hidden="1" x14ac:dyDescent="0.2">
      <c r="A201" t="s">
        <v>180</v>
      </c>
      <c r="B201" t="s">
        <v>61</v>
      </c>
      <c r="C201">
        <v>2.9</v>
      </c>
      <c r="D201">
        <v>65</v>
      </c>
      <c r="E201">
        <v>7.1839002241013539</v>
      </c>
      <c r="F201">
        <v>6.5025180845234916</v>
      </c>
      <c r="G201">
        <v>1620.818785321628</v>
      </c>
      <c r="H201">
        <v>0</v>
      </c>
      <c r="I201">
        <v>0.6</v>
      </c>
      <c r="J201" t="b">
        <v>1</v>
      </c>
      <c r="K201">
        <v>1E+19</v>
      </c>
      <c r="L201">
        <v>0.3</v>
      </c>
      <c r="M201" t="b">
        <v>1</v>
      </c>
      <c r="N201">
        <v>100000000000</v>
      </c>
      <c r="O201">
        <v>0.36390091066592278</v>
      </c>
      <c r="P201">
        <v>0.1831022886955973</v>
      </c>
      <c r="Q201">
        <v>0.1238186375909907</v>
      </c>
      <c r="R201" t="s">
        <v>426</v>
      </c>
      <c r="S201" t="s">
        <v>427</v>
      </c>
      <c r="T201">
        <v>1.289935148733321</v>
      </c>
      <c r="U201">
        <v>225.1827165449061</v>
      </c>
      <c r="V201">
        <v>200.33725427192539</v>
      </c>
    </row>
    <row r="202" spans="1:22" hidden="1" x14ac:dyDescent="0.2">
      <c r="A202" t="s">
        <v>180</v>
      </c>
      <c r="B202" t="s">
        <v>61</v>
      </c>
      <c r="C202">
        <v>2.9</v>
      </c>
      <c r="D202">
        <v>65</v>
      </c>
      <c r="E202">
        <v>7.1839002241013539</v>
      </c>
      <c r="F202">
        <v>6.5025180845234916</v>
      </c>
      <c r="G202">
        <v>1620.818785321628</v>
      </c>
      <c r="H202">
        <v>0</v>
      </c>
      <c r="I202">
        <v>0.6</v>
      </c>
      <c r="J202" t="b">
        <v>1</v>
      </c>
      <c r="K202">
        <v>1E+18</v>
      </c>
      <c r="L202">
        <v>0.3</v>
      </c>
      <c r="M202" t="b">
        <v>1</v>
      </c>
      <c r="N202">
        <v>100000000000</v>
      </c>
      <c r="O202">
        <v>0.36390091066592278</v>
      </c>
      <c r="P202">
        <v>0.1831022886955973</v>
      </c>
      <c r="Q202">
        <v>0.1238186375909907</v>
      </c>
      <c r="R202" t="s">
        <v>428</v>
      </c>
      <c r="S202" t="s">
        <v>429</v>
      </c>
      <c r="T202">
        <v>1.289935148733321</v>
      </c>
      <c r="U202">
        <v>287.12483561607331</v>
      </c>
      <c r="V202">
        <v>200.33725427192539</v>
      </c>
    </row>
    <row r="203" spans="1:22" hidden="1" x14ac:dyDescent="0.2">
      <c r="A203" t="s">
        <v>180</v>
      </c>
      <c r="B203" t="s">
        <v>61</v>
      </c>
      <c r="C203">
        <v>2.9</v>
      </c>
      <c r="D203">
        <v>60</v>
      </c>
      <c r="E203">
        <v>7.1804422181077996</v>
      </c>
      <c r="F203">
        <v>6.503734294303567</v>
      </c>
      <c r="G203">
        <v>1617.196325671601</v>
      </c>
      <c r="H203">
        <v>0</v>
      </c>
      <c r="I203">
        <v>0.6</v>
      </c>
      <c r="J203" t="b">
        <v>1</v>
      </c>
      <c r="K203">
        <v>1E+19</v>
      </c>
      <c r="L203">
        <v>0.3</v>
      </c>
      <c r="M203" t="b">
        <v>1</v>
      </c>
      <c r="N203">
        <v>100000000000</v>
      </c>
      <c r="O203">
        <v>0.36416142599920071</v>
      </c>
      <c r="P203">
        <v>0.1826560559858991</v>
      </c>
      <c r="Q203">
        <v>0.12352957487276719</v>
      </c>
      <c r="R203" t="s">
        <v>430</v>
      </c>
      <c r="S203" t="s">
        <v>431</v>
      </c>
      <c r="T203">
        <v>1.289935148733321</v>
      </c>
      <c r="U203">
        <v>225.1426723182316</v>
      </c>
      <c r="V203">
        <v>200.39694522766069</v>
      </c>
    </row>
    <row r="204" spans="1:22" hidden="1" x14ac:dyDescent="0.2">
      <c r="A204" t="s">
        <v>180</v>
      </c>
      <c r="B204" t="s">
        <v>61</v>
      </c>
      <c r="C204">
        <v>2.9</v>
      </c>
      <c r="D204">
        <v>60</v>
      </c>
      <c r="E204">
        <v>7.1804422181077996</v>
      </c>
      <c r="F204">
        <v>6.503734294303567</v>
      </c>
      <c r="G204">
        <v>1617.196325671601</v>
      </c>
      <c r="H204">
        <v>0</v>
      </c>
      <c r="I204">
        <v>0.6</v>
      </c>
      <c r="J204" t="b">
        <v>1</v>
      </c>
      <c r="K204">
        <v>1E+18</v>
      </c>
      <c r="L204">
        <v>0.3</v>
      </c>
      <c r="M204" t="b">
        <v>1</v>
      </c>
      <c r="N204">
        <v>100000000000</v>
      </c>
      <c r="O204">
        <v>0.36416142599920071</v>
      </c>
      <c r="P204">
        <v>0.1826560559858991</v>
      </c>
      <c r="Q204">
        <v>0.12352957487276719</v>
      </c>
      <c r="R204" t="s">
        <v>432</v>
      </c>
      <c r="S204" t="s">
        <v>433</v>
      </c>
      <c r="T204">
        <v>1.289935148733321</v>
      </c>
      <c r="U204">
        <v>287.63796225519172</v>
      </c>
      <c r="V204">
        <v>200.39694522766069</v>
      </c>
    </row>
    <row r="205" spans="1:22" hidden="1" x14ac:dyDescent="0.2">
      <c r="A205" t="s">
        <v>180</v>
      </c>
      <c r="B205" t="s">
        <v>61</v>
      </c>
      <c r="C205">
        <v>2.9</v>
      </c>
      <c r="D205">
        <v>55</v>
      </c>
      <c r="E205">
        <v>7.1829214050010277</v>
      </c>
      <c r="F205">
        <v>6.5051382370185804</v>
      </c>
      <c r="G205">
        <v>1613.220130752519</v>
      </c>
      <c r="H205">
        <v>0</v>
      </c>
      <c r="I205">
        <v>0.6</v>
      </c>
      <c r="J205" t="b">
        <v>1</v>
      </c>
      <c r="K205">
        <v>1E+19</v>
      </c>
      <c r="L205">
        <v>0.3</v>
      </c>
      <c r="M205" t="b">
        <v>1</v>
      </c>
      <c r="N205">
        <v>100000000000</v>
      </c>
      <c r="O205">
        <v>0.36441685917428968</v>
      </c>
      <c r="P205">
        <v>0.18222784330966829</v>
      </c>
      <c r="Q205">
        <v>0.1232002338534586</v>
      </c>
      <c r="R205" t="s">
        <v>434</v>
      </c>
      <c r="S205" t="s">
        <v>435</v>
      </c>
      <c r="T205">
        <v>1.289935148733321</v>
      </c>
      <c r="U205">
        <v>225.10780236066009</v>
      </c>
      <c r="V205">
        <v>200.45902873786241</v>
      </c>
    </row>
    <row r="206" spans="1:22" hidden="1" x14ac:dyDescent="0.2">
      <c r="A206" t="s">
        <v>180</v>
      </c>
      <c r="B206" t="s">
        <v>61</v>
      </c>
      <c r="C206">
        <v>2.9</v>
      </c>
      <c r="D206">
        <v>55</v>
      </c>
      <c r="E206">
        <v>7.1829214050010277</v>
      </c>
      <c r="F206">
        <v>6.5051382370185804</v>
      </c>
      <c r="G206">
        <v>1613.220130752519</v>
      </c>
      <c r="H206">
        <v>0</v>
      </c>
      <c r="I206">
        <v>0.6</v>
      </c>
      <c r="J206" t="b">
        <v>1</v>
      </c>
      <c r="K206">
        <v>1E+18</v>
      </c>
      <c r="L206">
        <v>0.3</v>
      </c>
      <c r="M206" t="b">
        <v>1</v>
      </c>
      <c r="N206">
        <v>100000000000</v>
      </c>
      <c r="O206">
        <v>0.36441685917428968</v>
      </c>
      <c r="P206">
        <v>0.18222784330966829</v>
      </c>
      <c r="Q206">
        <v>0.1232002338534586</v>
      </c>
      <c r="R206" t="s">
        <v>436</v>
      </c>
      <c r="S206" t="s">
        <v>437</v>
      </c>
      <c r="T206">
        <v>1.289935148733321</v>
      </c>
      <c r="U206">
        <v>289.45278504274933</v>
      </c>
      <c r="V206">
        <v>200.45902873786241</v>
      </c>
    </row>
    <row r="207" spans="1:22" hidden="1" x14ac:dyDescent="0.2">
      <c r="A207" t="s">
        <v>180</v>
      </c>
      <c r="B207" t="s">
        <v>61</v>
      </c>
      <c r="C207">
        <v>3</v>
      </c>
      <c r="D207">
        <v>70</v>
      </c>
      <c r="E207">
        <v>7.182774797740997</v>
      </c>
      <c r="F207">
        <v>6.5051248959246601</v>
      </c>
      <c r="G207">
        <v>1613.114599723471</v>
      </c>
      <c r="H207">
        <v>0</v>
      </c>
      <c r="I207">
        <v>0.6</v>
      </c>
      <c r="J207" t="b">
        <v>1</v>
      </c>
      <c r="K207">
        <v>1E+19</v>
      </c>
      <c r="L207">
        <v>0.3</v>
      </c>
      <c r="M207" t="b">
        <v>1</v>
      </c>
      <c r="N207">
        <v>100000000000</v>
      </c>
      <c r="O207">
        <v>0.36444335326509059</v>
      </c>
      <c r="P207">
        <v>0.1822173656222211</v>
      </c>
      <c r="Q207">
        <v>0.1232222152807991</v>
      </c>
      <c r="R207" t="s">
        <v>438</v>
      </c>
      <c r="S207" t="s">
        <v>439</v>
      </c>
      <c r="T207">
        <v>1.289935148733321</v>
      </c>
      <c r="U207">
        <v>225.0271596966993</v>
      </c>
      <c r="V207">
        <v>200.46601232161439</v>
      </c>
    </row>
    <row r="208" spans="1:22" hidden="1" x14ac:dyDescent="0.2">
      <c r="A208" t="s">
        <v>180</v>
      </c>
      <c r="B208" t="s">
        <v>61</v>
      </c>
      <c r="C208">
        <v>3</v>
      </c>
      <c r="D208">
        <v>70</v>
      </c>
      <c r="E208">
        <v>7.182774797740997</v>
      </c>
      <c r="F208">
        <v>6.5051248959246601</v>
      </c>
      <c r="G208">
        <v>1613.114599723471</v>
      </c>
      <c r="H208">
        <v>0</v>
      </c>
      <c r="I208">
        <v>0.6</v>
      </c>
      <c r="J208" t="b">
        <v>1</v>
      </c>
      <c r="K208">
        <v>1E+18</v>
      </c>
      <c r="L208">
        <v>0.3</v>
      </c>
      <c r="M208" t="b">
        <v>1</v>
      </c>
      <c r="N208">
        <v>100000000000</v>
      </c>
      <c r="O208">
        <v>0.36444335326509059</v>
      </c>
      <c r="P208">
        <v>0.1822173656222211</v>
      </c>
      <c r="Q208">
        <v>0.1232222152807991</v>
      </c>
      <c r="R208" t="s">
        <v>440</v>
      </c>
      <c r="S208" t="s">
        <v>441</v>
      </c>
      <c r="T208">
        <v>1.289935148733321</v>
      </c>
      <c r="U208">
        <v>290.00825048504339</v>
      </c>
      <c r="V208">
        <v>200.46601232161439</v>
      </c>
    </row>
    <row r="209" spans="1:26" hidden="1" x14ac:dyDescent="0.2">
      <c r="A209" t="s">
        <v>180</v>
      </c>
      <c r="B209" t="s">
        <v>61</v>
      </c>
      <c r="C209">
        <v>2.7</v>
      </c>
      <c r="D209">
        <v>45</v>
      </c>
      <c r="E209">
        <v>7.3750476131162053</v>
      </c>
      <c r="F209">
        <v>6.7032899646741626</v>
      </c>
      <c r="G209">
        <v>1582.9985455393171</v>
      </c>
      <c r="H209">
        <v>0</v>
      </c>
      <c r="I209">
        <v>0.5</v>
      </c>
      <c r="J209" t="b">
        <v>1</v>
      </c>
      <c r="K209">
        <v>1E+18</v>
      </c>
      <c r="L209">
        <v>0.3</v>
      </c>
      <c r="M209" t="b">
        <v>1</v>
      </c>
      <c r="N209">
        <v>100000000000</v>
      </c>
      <c r="O209">
        <v>0.36360102974883168</v>
      </c>
      <c r="P209">
        <v>0.1792944816259629</v>
      </c>
      <c r="Q209">
        <v>0.1192876547695845</v>
      </c>
      <c r="R209" t="s">
        <v>442</v>
      </c>
      <c r="S209" t="s">
        <v>443</v>
      </c>
      <c r="T209">
        <v>1.289935148733321</v>
      </c>
      <c r="U209">
        <v>279.71154798580977</v>
      </c>
      <c r="V209">
        <v>200.39889951332509</v>
      </c>
    </row>
    <row r="210" spans="1:26" hidden="1" x14ac:dyDescent="0.2">
      <c r="A210" t="s">
        <v>180</v>
      </c>
      <c r="B210" t="s">
        <v>61</v>
      </c>
      <c r="C210">
        <v>2.7</v>
      </c>
      <c r="D210">
        <v>40</v>
      </c>
      <c r="E210">
        <v>7.3700407785831077</v>
      </c>
      <c r="F210">
        <v>6.7048179154134351</v>
      </c>
      <c r="G210">
        <v>1577.9498349990199</v>
      </c>
      <c r="H210">
        <v>0</v>
      </c>
      <c r="I210">
        <v>0.5</v>
      </c>
      <c r="J210" t="b">
        <v>1</v>
      </c>
      <c r="K210">
        <v>1E+18</v>
      </c>
      <c r="L210">
        <v>0.3</v>
      </c>
      <c r="M210" t="b">
        <v>1</v>
      </c>
      <c r="N210">
        <v>100000000000</v>
      </c>
      <c r="O210">
        <v>0.3639843915255036</v>
      </c>
      <c r="P210">
        <v>0.1786788844166626</v>
      </c>
      <c r="Q210">
        <v>0.11892896140108961</v>
      </c>
      <c r="R210" t="s">
        <v>444</v>
      </c>
      <c r="S210" t="s">
        <v>445</v>
      </c>
      <c r="T210">
        <v>1.289935148733321</v>
      </c>
      <c r="U210">
        <v>279.70711922174519</v>
      </c>
      <c r="V210">
        <v>200.47966166621759</v>
      </c>
    </row>
    <row r="211" spans="1:26" hidden="1" x14ac:dyDescent="0.2">
      <c r="A211" t="s">
        <v>180</v>
      </c>
      <c r="B211" t="s">
        <v>61</v>
      </c>
      <c r="C211">
        <v>2.7</v>
      </c>
      <c r="D211">
        <v>35</v>
      </c>
      <c r="E211">
        <v>7.3650169046959721</v>
      </c>
      <c r="F211">
        <v>6.7063383365260076</v>
      </c>
      <c r="G211">
        <v>1572.8661976909241</v>
      </c>
      <c r="H211">
        <v>0</v>
      </c>
      <c r="I211">
        <v>0.5</v>
      </c>
      <c r="J211" t="b">
        <v>1</v>
      </c>
      <c r="K211">
        <v>1E+18</v>
      </c>
      <c r="L211">
        <v>0.3</v>
      </c>
      <c r="M211" t="b">
        <v>1</v>
      </c>
      <c r="N211">
        <v>100000000000</v>
      </c>
      <c r="O211">
        <v>0.36437019018253508</v>
      </c>
      <c r="P211">
        <v>0.17805982732342049</v>
      </c>
      <c r="Q211">
        <v>0.1185741267036118</v>
      </c>
      <c r="R211" t="s">
        <v>446</v>
      </c>
      <c r="S211" t="s">
        <v>447</v>
      </c>
      <c r="T211">
        <v>1.289935148733321</v>
      </c>
      <c r="U211">
        <v>280.40093598879861</v>
      </c>
      <c r="V211">
        <v>200.56021237343529</v>
      </c>
    </row>
    <row r="212" spans="1:26" hidden="1" x14ac:dyDescent="0.2">
      <c r="A212" t="s">
        <v>180</v>
      </c>
      <c r="B212" t="s">
        <v>61</v>
      </c>
      <c r="C212">
        <v>2.8</v>
      </c>
      <c r="D212">
        <v>55</v>
      </c>
      <c r="E212">
        <v>7.3766413142407616</v>
      </c>
      <c r="F212">
        <v>6.7027618629606138</v>
      </c>
      <c r="G212">
        <v>1584.6324325626711</v>
      </c>
      <c r="H212">
        <v>0</v>
      </c>
      <c r="I212">
        <v>0.5</v>
      </c>
      <c r="J212" t="b">
        <v>1</v>
      </c>
      <c r="K212">
        <v>1E+18</v>
      </c>
      <c r="L212">
        <v>0.3</v>
      </c>
      <c r="M212" t="b">
        <v>1</v>
      </c>
      <c r="N212">
        <v>100000000000</v>
      </c>
      <c r="O212">
        <v>0.36348953624817149</v>
      </c>
      <c r="P212">
        <v>0.17949550396498809</v>
      </c>
      <c r="Q212">
        <v>0.1194189062384643</v>
      </c>
      <c r="R212" t="s">
        <v>448</v>
      </c>
      <c r="S212" t="s">
        <v>449</v>
      </c>
      <c r="T212">
        <v>1.289935148733321</v>
      </c>
      <c r="U212">
        <v>279.82653062824068</v>
      </c>
      <c r="V212">
        <v>200.3750008852098</v>
      </c>
    </row>
    <row r="213" spans="1:26" hidden="1" x14ac:dyDescent="0.2">
      <c r="A213" t="s">
        <v>180</v>
      </c>
      <c r="B213" t="s">
        <v>61</v>
      </c>
      <c r="C213">
        <v>2.8</v>
      </c>
      <c r="D213">
        <v>50</v>
      </c>
      <c r="E213">
        <v>7.372393303090969</v>
      </c>
      <c r="F213">
        <v>6.7040678803285134</v>
      </c>
      <c r="G213">
        <v>1580.3571115498421</v>
      </c>
      <c r="H213">
        <v>0</v>
      </c>
      <c r="I213">
        <v>0.5</v>
      </c>
      <c r="J213" t="b">
        <v>1</v>
      </c>
      <c r="K213">
        <v>1E+18</v>
      </c>
      <c r="L213">
        <v>0.3</v>
      </c>
      <c r="M213" t="b">
        <v>1</v>
      </c>
      <c r="N213">
        <v>100000000000</v>
      </c>
      <c r="O213">
        <v>0.36381212094836007</v>
      </c>
      <c r="P213">
        <v>0.17897358027971741</v>
      </c>
      <c r="Q213">
        <v>0.11911493987052139</v>
      </c>
      <c r="R213" t="s">
        <v>450</v>
      </c>
      <c r="S213" t="s">
        <v>451</v>
      </c>
      <c r="T213">
        <v>1.289935148733321</v>
      </c>
      <c r="U213">
        <v>281.97676695656628</v>
      </c>
      <c r="V213">
        <v>200.44397264284891</v>
      </c>
    </row>
    <row r="214" spans="1:26" hidden="1" x14ac:dyDescent="0.2">
      <c r="A214" t="s">
        <v>180</v>
      </c>
      <c r="B214" t="s">
        <v>61</v>
      </c>
      <c r="C214">
        <v>2.8</v>
      </c>
      <c r="D214">
        <v>45</v>
      </c>
      <c r="E214">
        <v>7.3681532619820223</v>
      </c>
      <c r="F214">
        <v>6.7053634646149369</v>
      </c>
      <c r="G214">
        <v>1576.057718171415</v>
      </c>
      <c r="H214">
        <v>0</v>
      </c>
      <c r="I214">
        <v>0.5</v>
      </c>
      <c r="J214" t="b">
        <v>1</v>
      </c>
      <c r="K214">
        <v>1E+18</v>
      </c>
      <c r="L214">
        <v>0.3</v>
      </c>
      <c r="M214" t="b">
        <v>1</v>
      </c>
      <c r="N214">
        <v>100000000000</v>
      </c>
      <c r="O214">
        <v>0.36413652462666241</v>
      </c>
      <c r="P214">
        <v>0.17844948858239801</v>
      </c>
      <c r="Q214">
        <v>0.11881113831012111</v>
      </c>
      <c r="R214" t="s">
        <v>452</v>
      </c>
      <c r="S214" t="s">
        <v>453</v>
      </c>
      <c r="T214">
        <v>1.289935148733321</v>
      </c>
      <c r="U214">
        <v>280.22360467558201</v>
      </c>
      <c r="V214">
        <v>200.51232576172509</v>
      </c>
    </row>
    <row r="215" spans="1:26" hidden="1" x14ac:dyDescent="0.2">
      <c r="A215" t="s">
        <v>180</v>
      </c>
      <c r="B215" t="s">
        <v>61</v>
      </c>
      <c r="C215">
        <v>2.8</v>
      </c>
      <c r="D215">
        <v>40</v>
      </c>
      <c r="E215">
        <v>7.3638926260834872</v>
      </c>
      <c r="F215">
        <v>6.7066570977369313</v>
      </c>
      <c r="G215">
        <v>1571.7342703573511</v>
      </c>
      <c r="H215">
        <v>0</v>
      </c>
      <c r="I215">
        <v>0.5</v>
      </c>
      <c r="J215" t="b">
        <v>1</v>
      </c>
      <c r="K215">
        <v>1E+18</v>
      </c>
      <c r="L215">
        <v>0.3</v>
      </c>
      <c r="M215" t="b">
        <v>1</v>
      </c>
      <c r="N215">
        <v>100000000000</v>
      </c>
      <c r="O215">
        <v>0.36446275089643498</v>
      </c>
      <c r="P215">
        <v>0.1779230106824217</v>
      </c>
      <c r="Q215">
        <v>0.1185069547399653</v>
      </c>
      <c r="R215" t="s">
        <v>454</v>
      </c>
      <c r="S215" t="s">
        <v>455</v>
      </c>
      <c r="T215">
        <v>1.289935148733321</v>
      </c>
      <c r="U215">
        <v>279.85247047344319</v>
      </c>
      <c r="V215">
        <v>200.5799439016877</v>
      </c>
    </row>
    <row r="216" spans="1:26" hidden="1" x14ac:dyDescent="0.2">
      <c r="A216" t="s">
        <v>180</v>
      </c>
      <c r="B216" t="s">
        <v>61</v>
      </c>
      <c r="C216">
        <v>2.9</v>
      </c>
      <c r="D216">
        <v>65</v>
      </c>
      <c r="E216">
        <v>7.3752381255757298</v>
      </c>
      <c r="F216">
        <v>6.7031402070754664</v>
      </c>
      <c r="G216">
        <v>1583.2558359139689</v>
      </c>
      <c r="H216">
        <v>0</v>
      </c>
      <c r="I216">
        <v>0.5</v>
      </c>
      <c r="J216" t="b">
        <v>1</v>
      </c>
      <c r="K216">
        <v>1E+18</v>
      </c>
      <c r="L216">
        <v>0.3</v>
      </c>
      <c r="M216" t="b">
        <v>1</v>
      </c>
      <c r="N216">
        <v>100000000000</v>
      </c>
      <c r="O216">
        <v>0.363610438293337</v>
      </c>
      <c r="P216">
        <v>0.17932963257790391</v>
      </c>
      <c r="Q216">
        <v>0.1193618132959646</v>
      </c>
      <c r="R216" t="s">
        <v>456</v>
      </c>
      <c r="S216" t="s">
        <v>457</v>
      </c>
      <c r="T216">
        <v>1.289935148733321</v>
      </c>
      <c r="U216">
        <v>279.23820215715392</v>
      </c>
      <c r="V216">
        <v>200.4043904098601</v>
      </c>
    </row>
    <row r="217" spans="1:26" hidden="1" x14ac:dyDescent="0.2">
      <c r="A217" t="s">
        <v>180</v>
      </c>
      <c r="B217" t="s">
        <v>61</v>
      </c>
      <c r="C217">
        <v>2.9</v>
      </c>
      <c r="D217">
        <v>60</v>
      </c>
      <c r="E217">
        <v>7.3717392102425068</v>
      </c>
      <c r="F217">
        <v>6.704222618122512</v>
      </c>
      <c r="G217">
        <v>1579.727180085629</v>
      </c>
      <c r="H217">
        <v>0</v>
      </c>
      <c r="I217">
        <v>0.5</v>
      </c>
      <c r="J217" t="b">
        <v>1</v>
      </c>
      <c r="K217">
        <v>1E+18</v>
      </c>
      <c r="L217">
        <v>0.3</v>
      </c>
      <c r="M217" t="b">
        <v>1</v>
      </c>
      <c r="N217">
        <v>100000000000</v>
      </c>
      <c r="O217">
        <v>0.36387417865564248</v>
      </c>
      <c r="P217">
        <v>0.17889863985090529</v>
      </c>
      <c r="Q217">
        <v>0.1190916696106528</v>
      </c>
      <c r="R217" t="s">
        <v>458</v>
      </c>
      <c r="S217" t="s">
        <v>459</v>
      </c>
      <c r="T217">
        <v>1.289935148733321</v>
      </c>
      <c r="U217">
        <v>281.92410804746521</v>
      </c>
      <c r="V217">
        <v>200.45775233322109</v>
      </c>
    </row>
    <row r="218" spans="1:26" hidden="1" x14ac:dyDescent="0.2">
      <c r="A218" t="s">
        <v>180</v>
      </c>
      <c r="B218" t="s">
        <v>61</v>
      </c>
      <c r="C218">
        <v>2.9</v>
      </c>
      <c r="D218">
        <v>55</v>
      </c>
      <c r="E218">
        <v>7.3682503012599012</v>
      </c>
      <c r="F218">
        <v>6.7052953562201916</v>
      </c>
      <c r="G218">
        <v>1576.184291638036</v>
      </c>
      <c r="H218">
        <v>0</v>
      </c>
      <c r="I218">
        <v>0.5</v>
      </c>
      <c r="J218" t="b">
        <v>1</v>
      </c>
      <c r="K218">
        <v>1E+18</v>
      </c>
      <c r="L218">
        <v>0.3</v>
      </c>
      <c r="M218" t="b">
        <v>1</v>
      </c>
      <c r="N218">
        <v>100000000000</v>
      </c>
      <c r="O218">
        <v>0.36413921127802962</v>
      </c>
      <c r="P218">
        <v>0.17846648116549291</v>
      </c>
      <c r="Q218">
        <v>0.1188379557658996</v>
      </c>
      <c r="R218" t="s">
        <v>460</v>
      </c>
      <c r="S218" t="s">
        <v>461</v>
      </c>
      <c r="T218">
        <v>1.289935148733321</v>
      </c>
      <c r="U218">
        <v>279.31530973528658</v>
      </c>
      <c r="V218">
        <v>200.51342990199791</v>
      </c>
    </row>
    <row r="219" spans="1:26" hidden="1" x14ac:dyDescent="0.2">
      <c r="A219" t="s">
        <v>180</v>
      </c>
      <c r="B219" t="s">
        <v>61</v>
      </c>
      <c r="C219">
        <v>2.9</v>
      </c>
      <c r="D219">
        <v>50</v>
      </c>
      <c r="E219">
        <v>7.3647444414253869</v>
      </c>
      <c r="F219">
        <v>6.7063670049282074</v>
      </c>
      <c r="G219">
        <v>1572.6271869671359</v>
      </c>
      <c r="H219">
        <v>0</v>
      </c>
      <c r="I219">
        <v>0.5</v>
      </c>
      <c r="J219" t="b">
        <v>1</v>
      </c>
      <c r="K219">
        <v>1E+18</v>
      </c>
      <c r="L219">
        <v>0.3</v>
      </c>
      <c r="M219" t="b">
        <v>1</v>
      </c>
      <c r="N219">
        <v>100000000000</v>
      </c>
      <c r="O219">
        <v>0.36440553558877709</v>
      </c>
      <c r="P219">
        <v>0.17803295279842299</v>
      </c>
      <c r="Q219">
        <v>0.1185868904668945</v>
      </c>
      <c r="R219" t="s">
        <v>462</v>
      </c>
      <c r="S219" t="s">
        <v>463</v>
      </c>
      <c r="T219">
        <v>1.289935148733321</v>
      </c>
      <c r="U219">
        <v>279.81835049235002</v>
      </c>
      <c r="V219">
        <v>200.56904764640061</v>
      </c>
    </row>
    <row r="220" spans="1:26" hidden="1" x14ac:dyDescent="0.2">
      <c r="A220" t="s">
        <v>180</v>
      </c>
      <c r="B220" t="s">
        <v>61</v>
      </c>
      <c r="C220">
        <v>3</v>
      </c>
      <c r="D220">
        <v>70</v>
      </c>
      <c r="E220">
        <v>7.3681040160623468</v>
      </c>
      <c r="F220">
        <v>6.7052797739970389</v>
      </c>
      <c r="G220">
        <v>1576.080853439639</v>
      </c>
      <c r="H220">
        <v>0</v>
      </c>
      <c r="I220">
        <v>0.5</v>
      </c>
      <c r="J220" t="b">
        <v>1</v>
      </c>
      <c r="K220">
        <v>1E+18</v>
      </c>
      <c r="L220">
        <v>0.3</v>
      </c>
      <c r="M220" t="b">
        <v>1</v>
      </c>
      <c r="N220">
        <v>100000000000</v>
      </c>
      <c r="O220">
        <v>0.36416579526411152</v>
      </c>
      <c r="P220">
        <v>0.1784562883296863</v>
      </c>
      <c r="Q220">
        <v>0.1188604284788712</v>
      </c>
      <c r="R220" t="s">
        <v>464</v>
      </c>
      <c r="S220" t="s">
        <v>465</v>
      </c>
      <c r="T220">
        <v>1.289935148733321</v>
      </c>
      <c r="U220">
        <v>279.32089891237462</v>
      </c>
      <c r="V220">
        <v>200.52021576773649</v>
      </c>
    </row>
    <row r="221" spans="1:26" hidden="1" x14ac:dyDescent="0.2">
      <c r="A221" t="s">
        <v>180</v>
      </c>
      <c r="B221" t="s">
        <v>61</v>
      </c>
      <c r="C221">
        <v>3</v>
      </c>
      <c r="D221">
        <v>65</v>
      </c>
      <c r="E221">
        <v>7.3653444305445346</v>
      </c>
      <c r="F221">
        <v>6.7061321468471213</v>
      </c>
      <c r="G221">
        <v>1573.2751773627181</v>
      </c>
      <c r="H221">
        <v>0</v>
      </c>
      <c r="I221">
        <v>0.5</v>
      </c>
      <c r="J221" t="b">
        <v>1</v>
      </c>
      <c r="K221">
        <v>1E+18</v>
      </c>
      <c r="L221">
        <v>0.3</v>
      </c>
      <c r="M221" t="b">
        <v>1</v>
      </c>
      <c r="N221">
        <v>100000000000</v>
      </c>
      <c r="O221">
        <v>0.36437326963082528</v>
      </c>
      <c r="P221">
        <v>0.17811397550742419</v>
      </c>
      <c r="Q221">
        <v>0.1186796198638107</v>
      </c>
      <c r="R221" t="s">
        <v>466</v>
      </c>
      <c r="S221" t="s">
        <v>467</v>
      </c>
      <c r="T221">
        <v>1.289935148733321</v>
      </c>
      <c r="U221">
        <v>279.12549154001317</v>
      </c>
      <c r="V221">
        <v>200.56707939921549</v>
      </c>
    </row>
    <row r="222" spans="1:26" hidden="1" x14ac:dyDescent="0.2">
      <c r="A222" t="s">
        <v>180</v>
      </c>
      <c r="B222" t="s">
        <v>61</v>
      </c>
      <c r="C222">
        <v>3</v>
      </c>
      <c r="D222">
        <v>60</v>
      </c>
      <c r="E222">
        <v>7.3686969232548503</v>
      </c>
      <c r="F222">
        <v>6.7071621672033839</v>
      </c>
      <c r="G222">
        <v>1570.12394169762</v>
      </c>
      <c r="H222">
        <v>0</v>
      </c>
      <c r="I222">
        <v>0.5</v>
      </c>
      <c r="J222" t="b">
        <v>1</v>
      </c>
      <c r="K222">
        <v>1E+18</v>
      </c>
      <c r="L222">
        <v>0.3</v>
      </c>
      <c r="M222" t="b">
        <v>1</v>
      </c>
      <c r="N222">
        <v>100000000000</v>
      </c>
      <c r="O222">
        <v>0.36457530952028799</v>
      </c>
      <c r="P222">
        <v>0.1777943479023075</v>
      </c>
      <c r="Q222">
        <v>0.11844006587929901</v>
      </c>
      <c r="R222" t="s">
        <v>468</v>
      </c>
      <c r="S222" t="s">
        <v>469</v>
      </c>
      <c r="T222">
        <v>1.289935148733321</v>
      </c>
      <c r="U222">
        <v>278.57435925512931</v>
      </c>
      <c r="V222">
        <v>200.61259883131589</v>
      </c>
    </row>
    <row r="223" spans="1:26" x14ac:dyDescent="0.2">
      <c r="A223" t="s">
        <v>500</v>
      </c>
      <c r="B223" t="s">
        <v>181</v>
      </c>
      <c r="C223">
        <v>2.7</v>
      </c>
      <c r="D223">
        <v>70</v>
      </c>
      <c r="E223">
        <v>6.6905815727180764</v>
      </c>
      <c r="F223">
        <v>5.9847530525805697</v>
      </c>
      <c r="G223">
        <v>1721.911644201776</v>
      </c>
      <c r="H223">
        <v>0</v>
      </c>
      <c r="I223">
        <v>1</v>
      </c>
      <c r="J223" t="b">
        <v>1</v>
      </c>
      <c r="K223">
        <v>1E+21</v>
      </c>
      <c r="L223">
        <v>0.3</v>
      </c>
      <c r="M223" t="b">
        <v>1</v>
      </c>
      <c r="N223">
        <v>100000000000</v>
      </c>
      <c r="O223">
        <v>0.36452246391135779</v>
      </c>
      <c r="P223">
        <v>0.191075848462122</v>
      </c>
      <c r="Q223">
        <v>0.1349014922362084</v>
      </c>
      <c r="R223" t="s">
        <v>470</v>
      </c>
      <c r="S223" t="s">
        <v>471</v>
      </c>
      <c r="T223">
        <v>1.289935148733321</v>
      </c>
      <c r="U223">
        <v>210.069729314352</v>
      </c>
      <c r="V223">
        <v>199.7710498403062</v>
      </c>
      <c r="W223">
        <f>VALUE(","&amp;MID(R223,4,10))</f>
        <v>0.1746318879</v>
      </c>
      <c r="X223">
        <f>((O223-0.364)/0.0012)^2+((W223-0.174)/0.016)^2</f>
        <v>0.19112118174373099</v>
      </c>
      <c r="Y223">
        <f>((O223-O$8)/0.0012)^2+((W223-W$8)/0.016)^2</f>
        <v>0.21180836127848632</v>
      </c>
      <c r="Z223" s="5">
        <f>Y223*100</f>
        <v>21.180836127848632</v>
      </c>
    </row>
    <row r="224" spans="1:26" hidden="1" x14ac:dyDescent="0.2">
      <c r="A224" t="s">
        <v>500</v>
      </c>
      <c r="B224" t="s">
        <v>181</v>
      </c>
      <c r="C224">
        <v>2.7</v>
      </c>
      <c r="D224">
        <v>70</v>
      </c>
      <c r="E224">
        <v>6.6905815727180764</v>
      </c>
      <c r="F224">
        <v>5.9847530525805697</v>
      </c>
      <c r="G224">
        <v>1721.911644201776</v>
      </c>
      <c r="H224">
        <v>0</v>
      </c>
      <c r="I224">
        <v>1</v>
      </c>
      <c r="J224" t="b">
        <v>1</v>
      </c>
      <c r="K224">
        <v>1E+20</v>
      </c>
      <c r="L224">
        <v>0.3</v>
      </c>
      <c r="M224" t="b">
        <v>1</v>
      </c>
      <c r="N224">
        <v>100000000000</v>
      </c>
      <c r="O224">
        <v>0.36452246391135779</v>
      </c>
      <c r="P224">
        <v>0.191075848462122</v>
      </c>
      <c r="Q224">
        <v>0.1349014922362084</v>
      </c>
      <c r="R224" t="s">
        <v>472</v>
      </c>
      <c r="S224" t="s">
        <v>473</v>
      </c>
      <c r="T224">
        <v>1.289935148733321</v>
      </c>
      <c r="U224">
        <v>214.05457903876319</v>
      </c>
      <c r="V224">
        <v>199.7710498403062</v>
      </c>
    </row>
    <row r="225" spans="1:26" s="4" customFormat="1" x14ac:dyDescent="0.2">
      <c r="A225" s="4" t="s">
        <v>500</v>
      </c>
      <c r="B225" s="4" t="s">
        <v>181</v>
      </c>
      <c r="C225" s="4">
        <v>2.7</v>
      </c>
      <c r="D225" s="4">
        <v>70</v>
      </c>
      <c r="E225" s="4">
        <v>6.8127942617881034</v>
      </c>
      <c r="F225" s="4">
        <v>6.1162645241408828</v>
      </c>
      <c r="G225" s="4">
        <v>1689.029420201779</v>
      </c>
      <c r="H225" s="4">
        <v>0</v>
      </c>
      <c r="I225" s="4">
        <v>0.9</v>
      </c>
      <c r="J225" s="4" t="b">
        <v>1</v>
      </c>
      <c r="K225" s="4">
        <v>1E+21</v>
      </c>
      <c r="L225" s="4">
        <v>0.3</v>
      </c>
      <c r="M225" s="4" t="b">
        <v>1</v>
      </c>
      <c r="N225" s="4">
        <v>100000000000</v>
      </c>
      <c r="O225" s="4">
        <v>0.36427212834831341</v>
      </c>
      <c r="P225" s="4">
        <v>0.1887413608242543</v>
      </c>
      <c r="Q225" s="4">
        <v>0.1300640265906341</v>
      </c>
      <c r="R225" s="4" t="s">
        <v>474</v>
      </c>
      <c r="S225" s="4" t="s">
        <v>475</v>
      </c>
      <c r="T225" s="4">
        <v>1.289935148733321</v>
      </c>
      <c r="U225" s="4">
        <v>209.58312346713171</v>
      </c>
      <c r="V225" s="4">
        <v>199.8425102741891</v>
      </c>
      <c r="W225" s="4">
        <f>VALUE(","&amp;MID(R225,4,10))</f>
        <v>0.16790965769999999</v>
      </c>
      <c r="X225" s="4">
        <f>((O225-0.364)/0.0012)^2+((W225-0.174)/0.016)^2</f>
        <v>0.19631795343306593</v>
      </c>
      <c r="Y225" s="4">
        <f>((O225-O$8)/0.0012)^2+((W225-W$8)/0.016)^2</f>
        <v>7.9386599417051478E-5</v>
      </c>
      <c r="Z225" s="6">
        <f>Y225*100</f>
        <v>7.9386599417051486E-3</v>
      </c>
    </row>
    <row r="226" spans="1:26" hidden="1" x14ac:dyDescent="0.2">
      <c r="A226" t="s">
        <v>500</v>
      </c>
      <c r="B226" t="s">
        <v>181</v>
      </c>
      <c r="C226">
        <v>2.7</v>
      </c>
      <c r="D226">
        <v>70</v>
      </c>
      <c r="E226">
        <v>6.8127942617881034</v>
      </c>
      <c r="F226">
        <v>6.1162645241408828</v>
      </c>
      <c r="G226">
        <v>1689.029420201779</v>
      </c>
      <c r="H226">
        <v>0</v>
      </c>
      <c r="I226">
        <v>0.9</v>
      </c>
      <c r="J226" t="b">
        <v>1</v>
      </c>
      <c r="K226">
        <v>1E+20</v>
      </c>
      <c r="L226">
        <v>0.3</v>
      </c>
      <c r="M226" t="b">
        <v>1</v>
      </c>
      <c r="N226">
        <v>100000000000</v>
      </c>
      <c r="O226">
        <v>0.36427212834831341</v>
      </c>
      <c r="P226">
        <v>0.1887413608242543</v>
      </c>
      <c r="Q226">
        <v>0.1300640265906341</v>
      </c>
      <c r="R226" t="s">
        <v>476</v>
      </c>
      <c r="S226" t="s">
        <v>477</v>
      </c>
      <c r="T226">
        <v>1.289935148733321</v>
      </c>
      <c r="U226">
        <v>213.3368357561622</v>
      </c>
      <c r="V226">
        <v>199.8425102741891</v>
      </c>
    </row>
    <row r="227" spans="1:26" hidden="1" x14ac:dyDescent="0.2">
      <c r="A227" t="s">
        <v>500</v>
      </c>
      <c r="B227" t="s">
        <v>181</v>
      </c>
      <c r="C227">
        <v>2.7</v>
      </c>
      <c r="D227">
        <v>70</v>
      </c>
      <c r="E227">
        <v>6.8127942617881034</v>
      </c>
      <c r="F227">
        <v>6.1162645241408828</v>
      </c>
      <c r="G227">
        <v>1689.029420201779</v>
      </c>
      <c r="H227">
        <v>0</v>
      </c>
      <c r="I227">
        <v>0.9</v>
      </c>
      <c r="J227" t="b">
        <v>1</v>
      </c>
      <c r="K227">
        <v>1E+19</v>
      </c>
      <c r="L227">
        <v>0.3</v>
      </c>
      <c r="M227" t="b">
        <v>1</v>
      </c>
      <c r="N227">
        <v>100000000000</v>
      </c>
      <c r="O227">
        <v>0.36427212834831341</v>
      </c>
      <c r="P227">
        <v>0.1887413608242543</v>
      </c>
      <c r="Q227">
        <v>0.1300640265906341</v>
      </c>
      <c r="R227" t="s">
        <v>478</v>
      </c>
      <c r="S227" t="s">
        <v>479</v>
      </c>
      <c r="T227">
        <v>1.289935148733321</v>
      </c>
      <c r="U227">
        <v>226.0287703416665</v>
      </c>
      <c r="V227">
        <v>199.8425102741891</v>
      </c>
    </row>
    <row r="228" spans="1:26" hidden="1" x14ac:dyDescent="0.2">
      <c r="A228" t="s">
        <v>500</v>
      </c>
      <c r="B228" t="s">
        <v>181</v>
      </c>
      <c r="C228">
        <v>2.7</v>
      </c>
      <c r="D228">
        <v>70</v>
      </c>
      <c r="E228">
        <v>6.9503590742096542</v>
      </c>
      <c r="F228">
        <v>6.261395320998469</v>
      </c>
      <c r="G228">
        <v>1655.130220201783</v>
      </c>
      <c r="H228">
        <v>0</v>
      </c>
      <c r="I228">
        <v>0.8</v>
      </c>
      <c r="J228" t="b">
        <v>1</v>
      </c>
      <c r="K228">
        <v>1E+19</v>
      </c>
      <c r="L228">
        <v>0.3</v>
      </c>
      <c r="M228" t="b">
        <v>1</v>
      </c>
      <c r="N228">
        <v>100000000000</v>
      </c>
      <c r="O228">
        <v>0.36401727042497728</v>
      </c>
      <c r="P228">
        <v>0.18619194445996051</v>
      </c>
      <c r="Q228">
        <v>0.12534352072403299</v>
      </c>
      <c r="R228" t="s">
        <v>480</v>
      </c>
      <c r="S228" t="s">
        <v>481</v>
      </c>
      <c r="T228">
        <v>1.289935148733321</v>
      </c>
      <c r="U228">
        <v>224.41599808873829</v>
      </c>
      <c r="V228">
        <v>199.9025368153107</v>
      </c>
    </row>
    <row r="229" spans="1:26" hidden="1" x14ac:dyDescent="0.2">
      <c r="A229" t="s">
        <v>500</v>
      </c>
      <c r="B229" t="s">
        <v>181</v>
      </c>
      <c r="C229">
        <v>2.7</v>
      </c>
      <c r="D229">
        <v>65</v>
      </c>
      <c r="E229">
        <v>6.9454498428759921</v>
      </c>
      <c r="F229">
        <v>6.2637438780907164</v>
      </c>
      <c r="G229">
        <v>1649.1834619189619</v>
      </c>
      <c r="H229">
        <v>0</v>
      </c>
      <c r="I229">
        <v>0.8</v>
      </c>
      <c r="J229" t="b">
        <v>1</v>
      </c>
      <c r="K229">
        <v>1E+19</v>
      </c>
      <c r="L229">
        <v>0.3</v>
      </c>
      <c r="M229" t="b">
        <v>1</v>
      </c>
      <c r="N229">
        <v>100000000000</v>
      </c>
      <c r="O229">
        <v>0.36440188751936692</v>
      </c>
      <c r="P229">
        <v>0.18546006787567859</v>
      </c>
      <c r="Q229">
        <v>0.1247870126614217</v>
      </c>
      <c r="R229" t="s">
        <v>482</v>
      </c>
      <c r="S229" t="s">
        <v>483</v>
      </c>
      <c r="T229">
        <v>1.289935148733321</v>
      </c>
      <c r="U229">
        <v>224.38131231115219</v>
      </c>
      <c r="V229">
        <v>199.99426990758491</v>
      </c>
    </row>
    <row r="230" spans="1:26" hidden="1" x14ac:dyDescent="0.2">
      <c r="A230" t="s">
        <v>500</v>
      </c>
      <c r="B230" t="s">
        <v>181</v>
      </c>
      <c r="C230">
        <v>2.7</v>
      </c>
      <c r="D230">
        <v>65</v>
      </c>
      <c r="E230">
        <v>6.9454498428759921</v>
      </c>
      <c r="F230">
        <v>6.2637438780907164</v>
      </c>
      <c r="G230">
        <v>1649.1834619189619</v>
      </c>
      <c r="H230">
        <v>0</v>
      </c>
      <c r="I230">
        <v>0.8</v>
      </c>
      <c r="J230" t="b">
        <v>1</v>
      </c>
      <c r="K230">
        <v>1E+18</v>
      </c>
      <c r="L230">
        <v>0.3</v>
      </c>
      <c r="M230" t="b">
        <v>1</v>
      </c>
      <c r="N230">
        <v>100000000000</v>
      </c>
      <c r="O230">
        <v>0.36440188751936692</v>
      </c>
      <c r="P230">
        <v>0.18546006787567859</v>
      </c>
      <c r="Q230">
        <v>0.1247870126614217</v>
      </c>
      <c r="R230" t="s">
        <v>484</v>
      </c>
      <c r="S230" t="s">
        <v>485</v>
      </c>
      <c r="T230">
        <v>1.289935148733321</v>
      </c>
      <c r="U230">
        <v>276.56428123865942</v>
      </c>
      <c r="V230">
        <v>199.99426990758491</v>
      </c>
    </row>
    <row r="231" spans="1:26" hidden="1" x14ac:dyDescent="0.2">
      <c r="A231" t="s">
        <v>500</v>
      </c>
      <c r="B231" t="s">
        <v>181</v>
      </c>
      <c r="C231">
        <v>2.7</v>
      </c>
      <c r="D231">
        <v>70</v>
      </c>
      <c r="E231">
        <v>7.1006488915642416</v>
      </c>
      <c r="F231">
        <v>6.42248437115106</v>
      </c>
      <c r="G231">
        <v>1620.3888360094061</v>
      </c>
      <c r="H231">
        <v>0</v>
      </c>
      <c r="I231">
        <v>0.7</v>
      </c>
      <c r="J231" t="b">
        <v>1</v>
      </c>
      <c r="K231">
        <v>1E+18</v>
      </c>
      <c r="L231">
        <v>0.3</v>
      </c>
      <c r="M231" t="b">
        <v>1</v>
      </c>
      <c r="N231">
        <v>100000000000</v>
      </c>
      <c r="O231">
        <v>0.36376321397156419</v>
      </c>
      <c r="P231">
        <v>0.1833351594919897</v>
      </c>
      <c r="Q231">
        <v>0.12076674632950719</v>
      </c>
      <c r="R231" t="s">
        <v>486</v>
      </c>
      <c r="S231" t="s">
        <v>487</v>
      </c>
      <c r="T231">
        <v>1.289935148733321</v>
      </c>
      <c r="U231">
        <v>266.27306939310932</v>
      </c>
      <c r="V231">
        <v>199.9479114643276</v>
      </c>
    </row>
    <row r="232" spans="1:26" hidden="1" x14ac:dyDescent="0.2">
      <c r="A232" t="s">
        <v>500</v>
      </c>
      <c r="B232" t="s">
        <v>181</v>
      </c>
      <c r="C232">
        <v>2.7</v>
      </c>
      <c r="D232">
        <v>65</v>
      </c>
      <c r="E232">
        <v>7.0944633216468942</v>
      </c>
      <c r="F232">
        <v>6.4245962287830283</v>
      </c>
      <c r="G232">
        <v>1614.647382953975</v>
      </c>
      <c r="H232">
        <v>0</v>
      </c>
      <c r="I232">
        <v>0.7</v>
      </c>
      <c r="J232" t="b">
        <v>1</v>
      </c>
      <c r="K232">
        <v>1E+18</v>
      </c>
      <c r="L232">
        <v>0.3</v>
      </c>
      <c r="M232" t="b">
        <v>1</v>
      </c>
      <c r="N232">
        <v>100000000000</v>
      </c>
      <c r="O232">
        <v>0.36415368659791852</v>
      </c>
      <c r="P232">
        <v>0.18261756854387101</v>
      </c>
      <c r="Q232">
        <v>0.1202790602201855</v>
      </c>
      <c r="R232" t="s">
        <v>488</v>
      </c>
      <c r="S232" t="s">
        <v>489</v>
      </c>
      <c r="T232">
        <v>1.289935148733321</v>
      </c>
      <c r="U232">
        <v>270.24632726412767</v>
      </c>
      <c r="V232">
        <v>200.03432531372241</v>
      </c>
    </row>
    <row r="233" spans="1:26" hidden="1" x14ac:dyDescent="0.2">
      <c r="A233" t="s">
        <v>500</v>
      </c>
      <c r="B233" t="s">
        <v>181</v>
      </c>
      <c r="C233">
        <v>2.7</v>
      </c>
      <c r="D233">
        <v>60</v>
      </c>
      <c r="E233">
        <v>7.09380107881399</v>
      </c>
      <c r="F233">
        <v>6.4269040629480791</v>
      </c>
      <c r="G233">
        <v>1608.52012152418</v>
      </c>
      <c r="H233">
        <v>0</v>
      </c>
      <c r="I233">
        <v>0.7</v>
      </c>
      <c r="J233" t="b">
        <v>1</v>
      </c>
      <c r="K233">
        <v>1E+18</v>
      </c>
      <c r="L233">
        <v>0.3</v>
      </c>
      <c r="M233" t="b">
        <v>1</v>
      </c>
      <c r="N233">
        <v>100000000000</v>
      </c>
      <c r="O233">
        <v>0.36454102614275458</v>
      </c>
      <c r="P233">
        <v>0.18191110086426221</v>
      </c>
      <c r="Q233">
        <v>0.11974545401196</v>
      </c>
      <c r="R233" t="s">
        <v>490</v>
      </c>
      <c r="S233" t="s">
        <v>491</v>
      </c>
      <c r="T233">
        <v>1.289935148733321</v>
      </c>
      <c r="U233">
        <v>266.30929887431353</v>
      </c>
      <c r="V233">
        <v>200.12140457740821</v>
      </c>
    </row>
    <row r="234" spans="1:26" hidden="1" x14ac:dyDescent="0.2">
      <c r="A234" t="s">
        <v>500</v>
      </c>
      <c r="B234" t="s">
        <v>181</v>
      </c>
      <c r="C234">
        <v>2.8</v>
      </c>
      <c r="D234">
        <v>70</v>
      </c>
      <c r="E234">
        <v>7.0936871758471991</v>
      </c>
      <c r="F234">
        <v>6.426866905536178</v>
      </c>
      <c r="G234">
        <v>1608.4634396424401</v>
      </c>
      <c r="H234">
        <v>0</v>
      </c>
      <c r="I234">
        <v>0.7</v>
      </c>
      <c r="J234" t="b">
        <v>1</v>
      </c>
      <c r="K234">
        <v>1E+18</v>
      </c>
      <c r="L234">
        <v>0.3</v>
      </c>
      <c r="M234" t="b">
        <v>1</v>
      </c>
      <c r="N234">
        <v>100000000000</v>
      </c>
      <c r="O234">
        <v>0.36456565499621418</v>
      </c>
      <c r="P234">
        <v>0.18190663550314781</v>
      </c>
      <c r="Q234">
        <v>0.1197696434816788</v>
      </c>
      <c r="R234" t="s">
        <v>492</v>
      </c>
      <c r="S234" t="s">
        <v>493</v>
      </c>
      <c r="T234">
        <v>1.289935148733321</v>
      </c>
      <c r="U234">
        <v>267.26404862187468</v>
      </c>
      <c r="V234">
        <v>200.12726004544751</v>
      </c>
    </row>
    <row r="235" spans="1:26" hidden="1" x14ac:dyDescent="0.2">
      <c r="A235" t="s">
        <v>500</v>
      </c>
      <c r="B235" t="s">
        <v>181</v>
      </c>
      <c r="C235">
        <v>2.7</v>
      </c>
      <c r="D235">
        <v>70</v>
      </c>
      <c r="E235">
        <v>7.2664347836651624</v>
      </c>
      <c r="F235">
        <v>6.6027324517340196</v>
      </c>
      <c r="G235">
        <v>1584.6342676569491</v>
      </c>
      <c r="H235">
        <v>0</v>
      </c>
      <c r="I235">
        <v>0.6</v>
      </c>
      <c r="J235" t="b">
        <v>1</v>
      </c>
      <c r="K235">
        <v>1E+18</v>
      </c>
      <c r="L235">
        <v>0.3</v>
      </c>
      <c r="M235" t="b">
        <v>1</v>
      </c>
      <c r="N235">
        <v>100000000000</v>
      </c>
      <c r="O235">
        <v>0.36350926975720182</v>
      </c>
      <c r="P235">
        <v>0.18005371373152451</v>
      </c>
      <c r="Q235">
        <v>0.1163011871328383</v>
      </c>
      <c r="R235" t="s">
        <v>494</v>
      </c>
      <c r="S235" t="s">
        <v>495</v>
      </c>
      <c r="T235">
        <v>1.289935148733321</v>
      </c>
      <c r="U235">
        <v>263.14114567290648</v>
      </c>
      <c r="V235">
        <v>199.97625853270961</v>
      </c>
    </row>
    <row r="236" spans="1:26" hidden="1" x14ac:dyDescent="0.2">
      <c r="A236" t="s">
        <v>500</v>
      </c>
      <c r="B236" t="s">
        <v>181</v>
      </c>
      <c r="C236">
        <v>2.7</v>
      </c>
      <c r="D236">
        <v>65</v>
      </c>
      <c r="E236">
        <v>7.2657737224189214</v>
      </c>
      <c r="F236">
        <v>6.6048325319624777</v>
      </c>
      <c r="G236">
        <v>1578.7045904059039</v>
      </c>
      <c r="H236">
        <v>0</v>
      </c>
      <c r="I236">
        <v>0.6</v>
      </c>
      <c r="J236" t="b">
        <v>1</v>
      </c>
      <c r="K236">
        <v>1E+18</v>
      </c>
      <c r="L236">
        <v>0.3</v>
      </c>
      <c r="M236" t="b">
        <v>1</v>
      </c>
      <c r="N236">
        <v>100000000000</v>
      </c>
      <c r="O236">
        <v>0.36389858443025419</v>
      </c>
      <c r="P236">
        <v>0.1793745380074491</v>
      </c>
      <c r="Q236">
        <v>0.11586216203399879</v>
      </c>
      <c r="R236" t="s">
        <v>496</v>
      </c>
      <c r="S236" t="s">
        <v>497</v>
      </c>
      <c r="T236">
        <v>1.289935148733321</v>
      </c>
      <c r="U236">
        <v>265.78280693900462</v>
      </c>
      <c r="V236">
        <v>200.06552113677091</v>
      </c>
    </row>
    <row r="237" spans="1:26" hidden="1" x14ac:dyDescent="0.2">
      <c r="A237" t="s">
        <v>500</v>
      </c>
      <c r="B237" t="s">
        <v>181</v>
      </c>
      <c r="C237">
        <v>2.8</v>
      </c>
      <c r="D237">
        <v>72</v>
      </c>
      <c r="E237">
        <v>7.2614141761268121</v>
      </c>
      <c r="F237">
        <v>6.6060349909236358</v>
      </c>
      <c r="G237">
        <v>1574.9511760993601</v>
      </c>
      <c r="H237">
        <v>0</v>
      </c>
      <c r="I237">
        <v>0.6</v>
      </c>
      <c r="J237" t="b">
        <v>1</v>
      </c>
      <c r="K237">
        <v>1E+18</v>
      </c>
      <c r="L237">
        <v>0.3</v>
      </c>
      <c r="M237" t="b">
        <v>1</v>
      </c>
      <c r="N237">
        <v>100000000000</v>
      </c>
      <c r="O237">
        <v>0.3641855242240713</v>
      </c>
      <c r="P237">
        <v>0.17890901923123059</v>
      </c>
      <c r="Q237">
        <v>0.11556428256335401</v>
      </c>
      <c r="R237" t="s">
        <v>498</v>
      </c>
      <c r="S237" t="s">
        <v>499</v>
      </c>
      <c r="T237">
        <v>1.289935148733321</v>
      </c>
      <c r="U237">
        <v>260.2253387449976</v>
      </c>
      <c r="V237">
        <v>200.11754274650991</v>
      </c>
    </row>
    <row r="238" spans="1:26" x14ac:dyDescent="0.2">
      <c r="A238" t="s">
        <v>500</v>
      </c>
      <c r="B238" t="s">
        <v>30</v>
      </c>
      <c r="C238">
        <v>2.7</v>
      </c>
      <c r="D238">
        <v>60</v>
      </c>
      <c r="E238">
        <v>6.6544276592847993</v>
      </c>
      <c r="F238">
        <v>5.939035285699255</v>
      </c>
      <c r="G238">
        <v>1743.7763642017751</v>
      </c>
      <c r="H238">
        <v>0</v>
      </c>
      <c r="I238">
        <v>1</v>
      </c>
      <c r="J238" t="b">
        <v>1</v>
      </c>
      <c r="K238">
        <v>1E+21</v>
      </c>
      <c r="L238">
        <v>0.3</v>
      </c>
      <c r="M238" t="b">
        <v>1</v>
      </c>
      <c r="N238">
        <v>100000000000</v>
      </c>
      <c r="O238">
        <v>0.36449012696650601</v>
      </c>
      <c r="P238">
        <v>0.19293111184141901</v>
      </c>
      <c r="Q238">
        <v>0.1404037728312568</v>
      </c>
      <c r="R238" t="s">
        <v>501</v>
      </c>
      <c r="S238" t="s">
        <v>502</v>
      </c>
      <c r="T238">
        <v>1.289935148733321</v>
      </c>
      <c r="U238">
        <v>210.84774135225879</v>
      </c>
      <c r="V238">
        <v>200.0038727924759</v>
      </c>
      <c r="W238">
        <f t="shared" ref="W238:W240" si="8">VALUE(","&amp;MID(R238,4,10))</f>
        <v>0.1815457144</v>
      </c>
      <c r="X238">
        <f t="shared" ref="X238:X240" si="9">((O238-0.364)/0.0012)^2+((W238-0.174)/0.016)^2</f>
        <v>0.38923583399806416</v>
      </c>
      <c r="Y238">
        <f t="shared" ref="Y238:Y240" si="10">((O238-O$8)/0.0012)^2+((W238-W$8)/0.016)^2</f>
        <v>0.74404127510219054</v>
      </c>
      <c r="Z238" s="5">
        <f t="shared" ref="Z238:Z240" si="11">Y238*100</f>
        <v>74.404127510219055</v>
      </c>
    </row>
    <row r="239" spans="1:26" x14ac:dyDescent="0.2">
      <c r="A239" t="s">
        <v>500</v>
      </c>
      <c r="B239" t="s">
        <v>30</v>
      </c>
      <c r="C239">
        <v>2.8</v>
      </c>
      <c r="D239">
        <v>70</v>
      </c>
      <c r="E239">
        <v>6.6546569896295944</v>
      </c>
      <c r="F239">
        <v>5.9392071849841752</v>
      </c>
      <c r="G239">
        <v>1743.2681402017729</v>
      </c>
      <c r="H239">
        <v>0</v>
      </c>
      <c r="I239">
        <v>1</v>
      </c>
      <c r="J239" t="b">
        <v>1</v>
      </c>
      <c r="K239">
        <v>1E+21</v>
      </c>
      <c r="L239">
        <v>0.3</v>
      </c>
      <c r="M239" t="b">
        <v>1</v>
      </c>
      <c r="N239">
        <v>100000000000</v>
      </c>
      <c r="O239">
        <v>0.36453884597335651</v>
      </c>
      <c r="P239">
        <v>0.19287711233965679</v>
      </c>
      <c r="Q239">
        <v>0.14037421667540559</v>
      </c>
      <c r="R239" t="s">
        <v>503</v>
      </c>
      <c r="S239" t="s">
        <v>504</v>
      </c>
      <c r="T239">
        <v>1.289935148733321</v>
      </c>
      <c r="U239">
        <v>210.84776672267259</v>
      </c>
      <c r="V239">
        <v>200.01789288450789</v>
      </c>
      <c r="W239">
        <f t="shared" si="8"/>
        <v>0.18149611939999999</v>
      </c>
      <c r="X239">
        <f t="shared" si="9"/>
        <v>0.42113464728105821</v>
      </c>
      <c r="Y239">
        <f t="shared" si="10"/>
        <v>0.75497057067496443</v>
      </c>
      <c r="Z239" s="5">
        <f t="shared" si="11"/>
        <v>75.497057067496442</v>
      </c>
    </row>
    <row r="240" spans="1:26" x14ac:dyDescent="0.2">
      <c r="A240" t="s">
        <v>500</v>
      </c>
      <c r="B240" t="s">
        <v>30</v>
      </c>
      <c r="C240">
        <v>2.7</v>
      </c>
      <c r="D240">
        <v>70</v>
      </c>
      <c r="E240">
        <v>6.7829598985066539</v>
      </c>
      <c r="F240">
        <v>6.0648058457142326</v>
      </c>
      <c r="G240">
        <v>1722.2506362017759</v>
      </c>
      <c r="H240">
        <v>0</v>
      </c>
      <c r="I240">
        <v>0.9</v>
      </c>
      <c r="J240" t="b">
        <v>1</v>
      </c>
      <c r="K240">
        <v>1E+21</v>
      </c>
      <c r="L240">
        <v>0.3</v>
      </c>
      <c r="M240" t="b">
        <v>1</v>
      </c>
      <c r="N240">
        <v>100000000000</v>
      </c>
      <c r="O240">
        <v>0.36349786586537919</v>
      </c>
      <c r="P240">
        <v>0.1920070611206067</v>
      </c>
      <c r="Q240">
        <v>0.13669618543489201</v>
      </c>
      <c r="R240" t="s">
        <v>505</v>
      </c>
      <c r="S240" t="s">
        <v>506</v>
      </c>
      <c r="T240">
        <v>1.289935148733321</v>
      </c>
      <c r="U240">
        <v>210.25787357922411</v>
      </c>
      <c r="V240">
        <v>199.90049100268789</v>
      </c>
      <c r="W240">
        <f t="shared" si="8"/>
        <v>0.1762522939</v>
      </c>
      <c r="X240">
        <f t="shared" si="9"/>
        <v>0.19491204555121783</v>
      </c>
      <c r="Y240">
        <f t="shared" si="10"/>
        <v>0.68347260116042086</v>
      </c>
      <c r="Z240" s="5">
        <f t="shared" si="11"/>
        <v>68.347260116042079</v>
      </c>
    </row>
    <row r="241" spans="1:26" hidden="1" x14ac:dyDescent="0.2">
      <c r="A241" t="s">
        <v>500</v>
      </c>
      <c r="B241" t="s">
        <v>30</v>
      </c>
      <c r="C241">
        <v>2.7</v>
      </c>
      <c r="D241">
        <v>70</v>
      </c>
      <c r="E241">
        <v>6.7829598985066539</v>
      </c>
      <c r="F241">
        <v>6.0648058457142326</v>
      </c>
      <c r="G241">
        <v>1722.2506362017759</v>
      </c>
      <c r="H241">
        <v>0</v>
      </c>
      <c r="I241">
        <v>0.9</v>
      </c>
      <c r="J241" t="b">
        <v>1</v>
      </c>
      <c r="K241">
        <v>1E+20</v>
      </c>
      <c r="L241">
        <v>0.3</v>
      </c>
      <c r="M241" t="b">
        <v>1</v>
      </c>
      <c r="N241">
        <v>100000000000</v>
      </c>
      <c r="O241">
        <v>0.36349786586537919</v>
      </c>
      <c r="P241">
        <v>0.1920070611206067</v>
      </c>
      <c r="Q241">
        <v>0.13669618543489201</v>
      </c>
      <c r="R241" t="s">
        <v>507</v>
      </c>
      <c r="S241" t="s">
        <v>508</v>
      </c>
      <c r="T241">
        <v>1.289935148733321</v>
      </c>
      <c r="U241">
        <v>214.33261927402549</v>
      </c>
      <c r="V241">
        <v>199.90049100268789</v>
      </c>
    </row>
    <row r="242" spans="1:26" x14ac:dyDescent="0.2">
      <c r="A242" t="s">
        <v>500</v>
      </c>
      <c r="B242" t="s">
        <v>30</v>
      </c>
      <c r="C242">
        <v>2.7</v>
      </c>
      <c r="D242">
        <v>65</v>
      </c>
      <c r="E242">
        <v>6.780727541014878</v>
      </c>
      <c r="F242">
        <v>6.0673135025198119</v>
      </c>
      <c r="G242">
        <v>1716.4028922017769</v>
      </c>
      <c r="H242">
        <v>0</v>
      </c>
      <c r="I242">
        <v>0.9</v>
      </c>
      <c r="J242" t="b">
        <v>1</v>
      </c>
      <c r="K242">
        <v>1E+21</v>
      </c>
      <c r="L242">
        <v>0.3</v>
      </c>
      <c r="M242" t="b">
        <v>1</v>
      </c>
      <c r="N242">
        <v>100000000000</v>
      </c>
      <c r="O242">
        <v>0.36385875637117437</v>
      </c>
      <c r="P242">
        <v>0.19130426114954949</v>
      </c>
      <c r="Q242">
        <v>0.136083180530604</v>
      </c>
      <c r="R242" t="s">
        <v>509</v>
      </c>
      <c r="S242" t="s">
        <v>510</v>
      </c>
      <c r="T242">
        <v>1.289935148733321</v>
      </c>
      <c r="U242">
        <v>210.2890645558204</v>
      </c>
      <c r="V242">
        <v>200.0054663108512</v>
      </c>
      <c r="W242">
        <f>VALUE(","&amp;MID(R242,4,10))</f>
        <v>0.17530190870000001</v>
      </c>
      <c r="X242">
        <f>((O242-0.364)/0.0012)^2+((W242-0.174)/0.016)^2</f>
        <v>2.0474963829143673E-2</v>
      </c>
      <c r="Y242">
        <f>((O242-O$8)/0.0012)^2+((W242-W$8)/0.016)^2</f>
        <v>0.32657199633203482</v>
      </c>
      <c r="Z242" s="5">
        <f>Y242*100</f>
        <v>32.657199633203483</v>
      </c>
    </row>
    <row r="243" spans="1:26" hidden="1" x14ac:dyDescent="0.2">
      <c r="A243" t="s">
        <v>500</v>
      </c>
      <c r="B243" t="s">
        <v>30</v>
      </c>
      <c r="C243">
        <v>2.7</v>
      </c>
      <c r="D243">
        <v>65</v>
      </c>
      <c r="E243">
        <v>6.780727541014878</v>
      </c>
      <c r="F243">
        <v>6.0673135025198119</v>
      </c>
      <c r="G243">
        <v>1716.4028922017769</v>
      </c>
      <c r="H243">
        <v>0</v>
      </c>
      <c r="I243">
        <v>0.9</v>
      </c>
      <c r="J243" t="b">
        <v>1</v>
      </c>
      <c r="K243">
        <v>1E+20</v>
      </c>
      <c r="L243">
        <v>0.3</v>
      </c>
      <c r="M243" t="b">
        <v>1</v>
      </c>
      <c r="N243">
        <v>100000000000</v>
      </c>
      <c r="O243">
        <v>0.36385875637117437</v>
      </c>
      <c r="P243">
        <v>0.19130426114954949</v>
      </c>
      <c r="Q243">
        <v>0.136083180530604</v>
      </c>
      <c r="R243" t="s">
        <v>511</v>
      </c>
      <c r="S243" t="s">
        <v>512</v>
      </c>
      <c r="T243">
        <v>1.289935148733321</v>
      </c>
      <c r="U243">
        <v>214.32975250686951</v>
      </c>
      <c r="V243">
        <v>200.0054663108512</v>
      </c>
    </row>
    <row r="244" spans="1:26" x14ac:dyDescent="0.2">
      <c r="A244" t="s">
        <v>500</v>
      </c>
      <c r="B244" t="s">
        <v>30</v>
      </c>
      <c r="C244">
        <v>2.7</v>
      </c>
      <c r="D244">
        <v>60</v>
      </c>
      <c r="E244">
        <v>6.7778010339592818</v>
      </c>
      <c r="F244">
        <v>6.0697897868643027</v>
      </c>
      <c r="G244">
        <v>1710.5551482017779</v>
      </c>
      <c r="H244">
        <v>0</v>
      </c>
      <c r="I244">
        <v>0.9</v>
      </c>
      <c r="J244" t="b">
        <v>1</v>
      </c>
      <c r="K244">
        <v>1E+21</v>
      </c>
      <c r="L244">
        <v>0.3</v>
      </c>
      <c r="M244" t="b">
        <v>1</v>
      </c>
      <c r="N244">
        <v>100000000000</v>
      </c>
      <c r="O244">
        <v>0.36422313067955597</v>
      </c>
      <c r="P244">
        <v>0.19059648884585381</v>
      </c>
      <c r="Q244">
        <v>0.1354759116615698</v>
      </c>
      <c r="R244" t="s">
        <v>513</v>
      </c>
      <c r="S244" t="s">
        <v>514</v>
      </c>
      <c r="T244">
        <v>1.289935148733321</v>
      </c>
      <c r="U244">
        <v>210.30950285632591</v>
      </c>
      <c r="V244">
        <v>200.10857119934599</v>
      </c>
      <c r="W244">
        <f>VALUE(","&amp;MID(R244,4,10))</f>
        <v>0.17436123880000001</v>
      </c>
      <c r="X244">
        <f>((O244-0.364)/0.0012)^2+((W244-0.174)/0.016)^2</f>
        <v>3.5084254119015917E-2</v>
      </c>
      <c r="Y244">
        <f>((O244-O$8)/0.0012)^2+((W244-W$8)/0.016)^2</f>
        <v>0.15783540266308158</v>
      </c>
      <c r="Z244" s="5">
        <f>Y244*100</f>
        <v>15.783540266308158</v>
      </c>
    </row>
    <row r="245" spans="1:26" hidden="1" x14ac:dyDescent="0.2">
      <c r="A245" t="s">
        <v>500</v>
      </c>
      <c r="B245" t="s">
        <v>30</v>
      </c>
      <c r="C245">
        <v>2.7</v>
      </c>
      <c r="D245">
        <v>60</v>
      </c>
      <c r="E245">
        <v>6.7778010339592818</v>
      </c>
      <c r="F245">
        <v>6.0697897868643027</v>
      </c>
      <c r="G245">
        <v>1710.5551482017779</v>
      </c>
      <c r="H245">
        <v>0</v>
      </c>
      <c r="I245">
        <v>0.9</v>
      </c>
      <c r="J245" t="b">
        <v>1</v>
      </c>
      <c r="K245">
        <v>1E+20</v>
      </c>
      <c r="L245">
        <v>0.3</v>
      </c>
      <c r="M245" t="b">
        <v>1</v>
      </c>
      <c r="N245">
        <v>100000000000</v>
      </c>
      <c r="O245">
        <v>0.36422313067955597</v>
      </c>
      <c r="P245">
        <v>0.19059648884585381</v>
      </c>
      <c r="Q245">
        <v>0.1354759116615698</v>
      </c>
      <c r="R245" t="s">
        <v>515</v>
      </c>
      <c r="S245" t="s">
        <v>516</v>
      </c>
      <c r="T245">
        <v>1.289935148733321</v>
      </c>
      <c r="U245">
        <v>214.3242962467198</v>
      </c>
      <c r="V245">
        <v>200.10857119934599</v>
      </c>
    </row>
    <row r="246" spans="1:26" x14ac:dyDescent="0.2">
      <c r="A246" t="s">
        <v>500</v>
      </c>
      <c r="B246" t="s">
        <v>30</v>
      </c>
      <c r="C246">
        <v>2.7</v>
      </c>
      <c r="D246">
        <v>55</v>
      </c>
      <c r="E246">
        <v>6.774195464730858</v>
      </c>
      <c r="F246">
        <v>6.0722323583889644</v>
      </c>
      <c r="G246">
        <v>1704.7074042017789</v>
      </c>
      <c r="H246">
        <v>0</v>
      </c>
      <c r="I246">
        <v>0.9</v>
      </c>
      <c r="J246" t="b">
        <v>1</v>
      </c>
      <c r="K246">
        <v>1E+21</v>
      </c>
      <c r="L246">
        <v>0.3</v>
      </c>
      <c r="M246" t="b">
        <v>1</v>
      </c>
      <c r="N246">
        <v>100000000000</v>
      </c>
      <c r="O246">
        <v>0.36459098870449591</v>
      </c>
      <c r="P246">
        <v>0.1898837149888325</v>
      </c>
      <c r="Q246">
        <v>0.13487552837484951</v>
      </c>
      <c r="R246" t="s">
        <v>517</v>
      </c>
      <c r="S246" t="s">
        <v>518</v>
      </c>
      <c r="T246">
        <v>1.289935148733321</v>
      </c>
      <c r="U246">
        <v>210.32444439595039</v>
      </c>
      <c r="V246">
        <v>200.21003866225669</v>
      </c>
      <c r="W246">
        <f>VALUE(","&amp;MID(R246,4,10))</f>
        <v>0.17343149329999999</v>
      </c>
      <c r="X246">
        <f>((O246-0.364)/0.0012)^2+((W246-0.174)/0.016)^2</f>
        <v>0.24380947784649759</v>
      </c>
      <c r="Y246">
        <f>((O246-O$8)/0.0012)^2+((W246-W$8)/0.016)^2</f>
        <v>0.18238867944030884</v>
      </c>
      <c r="Z246" s="5">
        <f>Y246*100</f>
        <v>18.238867944030883</v>
      </c>
    </row>
    <row r="247" spans="1:26" hidden="1" x14ac:dyDescent="0.2">
      <c r="A247" t="s">
        <v>500</v>
      </c>
      <c r="B247" t="s">
        <v>30</v>
      </c>
      <c r="C247">
        <v>2.7</v>
      </c>
      <c r="D247">
        <v>55</v>
      </c>
      <c r="E247">
        <v>6.774195464730858</v>
      </c>
      <c r="F247">
        <v>6.0722323583889644</v>
      </c>
      <c r="G247">
        <v>1704.7074042017789</v>
      </c>
      <c r="H247">
        <v>0</v>
      </c>
      <c r="I247">
        <v>0.9</v>
      </c>
      <c r="J247" t="b">
        <v>1</v>
      </c>
      <c r="K247">
        <v>1E+20</v>
      </c>
      <c r="L247">
        <v>0.3</v>
      </c>
      <c r="M247" t="b">
        <v>1</v>
      </c>
      <c r="N247">
        <v>100000000000</v>
      </c>
      <c r="O247">
        <v>0.36459098870449591</v>
      </c>
      <c r="P247">
        <v>0.1898837149888325</v>
      </c>
      <c r="Q247">
        <v>0.13487552837484951</v>
      </c>
      <c r="R247" t="s">
        <v>519</v>
      </c>
      <c r="S247" t="s">
        <v>520</v>
      </c>
      <c r="T247">
        <v>1.289935148733321</v>
      </c>
      <c r="U247">
        <v>214.34105804891939</v>
      </c>
      <c r="V247">
        <v>200.21003866225669</v>
      </c>
    </row>
    <row r="248" spans="1:26" x14ac:dyDescent="0.2">
      <c r="A248" t="s">
        <v>500</v>
      </c>
      <c r="B248" t="s">
        <v>30</v>
      </c>
      <c r="C248">
        <v>2.8</v>
      </c>
      <c r="D248">
        <v>70</v>
      </c>
      <c r="E248">
        <v>6.778189225330463</v>
      </c>
      <c r="F248">
        <v>6.0699550755435379</v>
      </c>
      <c r="G248">
        <v>1710.0469242017771</v>
      </c>
      <c r="H248">
        <v>0</v>
      </c>
      <c r="I248">
        <v>0.9</v>
      </c>
      <c r="J248" t="b">
        <v>1</v>
      </c>
      <c r="K248">
        <v>1E+21</v>
      </c>
      <c r="L248">
        <v>0.3</v>
      </c>
      <c r="M248" t="b">
        <v>1</v>
      </c>
      <c r="N248">
        <v>100000000000</v>
      </c>
      <c r="O248">
        <v>0.36427204290577458</v>
      </c>
      <c r="P248">
        <v>0.19054423102812301</v>
      </c>
      <c r="Q248">
        <v>0.13544742120796391</v>
      </c>
      <c r="R248" t="s">
        <v>521</v>
      </c>
      <c r="S248" t="s">
        <v>522</v>
      </c>
      <c r="T248">
        <v>1.289935148733321</v>
      </c>
      <c r="U248">
        <v>210.30900000653301</v>
      </c>
      <c r="V248">
        <v>200.1216823409807</v>
      </c>
      <c r="W248">
        <f>VALUE(","&amp;MID(R248,4,10))</f>
        <v>0.17431432890000001</v>
      </c>
      <c r="X248">
        <f>((O248-0.364)/0.0012)^2+((W248-0.174)/0.016)^2</f>
        <v>5.1779935784736428E-2</v>
      </c>
      <c r="Y248">
        <f>((O248-O$8)/0.0012)^2+((W248-W$8)/0.016)^2</f>
        <v>0.15361250453095848</v>
      </c>
      <c r="Z248" s="5">
        <f>Y248*100</f>
        <v>15.361250453095849</v>
      </c>
    </row>
    <row r="249" spans="1:26" hidden="1" x14ac:dyDescent="0.2">
      <c r="A249" t="s">
        <v>500</v>
      </c>
      <c r="B249" t="s">
        <v>30</v>
      </c>
      <c r="C249">
        <v>2.8</v>
      </c>
      <c r="D249">
        <v>70</v>
      </c>
      <c r="E249">
        <v>6.778189225330463</v>
      </c>
      <c r="F249">
        <v>6.0699550755435379</v>
      </c>
      <c r="G249">
        <v>1710.0469242017771</v>
      </c>
      <c r="H249">
        <v>0</v>
      </c>
      <c r="I249">
        <v>0.9</v>
      </c>
      <c r="J249" t="b">
        <v>1</v>
      </c>
      <c r="K249">
        <v>1E+20</v>
      </c>
      <c r="L249">
        <v>0.3</v>
      </c>
      <c r="M249" t="b">
        <v>1</v>
      </c>
      <c r="N249">
        <v>100000000000</v>
      </c>
      <c r="O249">
        <v>0.36427204290577458</v>
      </c>
      <c r="P249">
        <v>0.19054423102812301</v>
      </c>
      <c r="Q249">
        <v>0.13544742120796391</v>
      </c>
      <c r="R249" t="s">
        <v>523</v>
      </c>
      <c r="S249" t="s">
        <v>524</v>
      </c>
      <c r="T249">
        <v>1.289935148733321</v>
      </c>
      <c r="U249">
        <v>214.3118368388547</v>
      </c>
      <c r="V249">
        <v>200.1216823409807</v>
      </c>
    </row>
    <row r="250" spans="1:26" x14ac:dyDescent="0.2">
      <c r="A250" t="s">
        <v>500</v>
      </c>
      <c r="B250" t="s">
        <v>30</v>
      </c>
      <c r="C250">
        <v>2.8</v>
      </c>
      <c r="D250">
        <v>65</v>
      </c>
      <c r="E250">
        <v>6.7726148452150579</v>
      </c>
      <c r="F250">
        <v>6.0719510328886157</v>
      </c>
      <c r="G250">
        <v>1705.2161562017779</v>
      </c>
      <c r="H250">
        <v>0</v>
      </c>
      <c r="I250">
        <v>0.9</v>
      </c>
      <c r="J250" t="b">
        <v>1</v>
      </c>
      <c r="K250">
        <v>1E+21</v>
      </c>
      <c r="L250">
        <v>0.3</v>
      </c>
      <c r="M250" t="b">
        <v>1</v>
      </c>
      <c r="N250">
        <v>100000000000</v>
      </c>
      <c r="O250">
        <v>0.36458612097009618</v>
      </c>
      <c r="P250">
        <v>0.1899309606270578</v>
      </c>
      <c r="Q250">
        <v>0.13495578041105061</v>
      </c>
      <c r="R250" t="s">
        <v>525</v>
      </c>
      <c r="S250" t="s">
        <v>526</v>
      </c>
      <c r="T250">
        <v>1.289935148733321</v>
      </c>
      <c r="U250">
        <v>210.32323270915009</v>
      </c>
      <c r="V250">
        <v>200.20635401566949</v>
      </c>
      <c r="W250">
        <f>VALUE(","&amp;MID(R250,4,10))</f>
        <v>0.17355103129999999</v>
      </c>
      <c r="X250">
        <f>((O250-0.364)/0.0012)^2+((W250-0.174)/0.016)^2</f>
        <v>0.23935530493950594</v>
      </c>
      <c r="Y250">
        <f>((O250-O$8)/0.0012)^2+((W250-W$8)/0.016)^2</f>
        <v>0.18536171983941602</v>
      </c>
      <c r="Z250" s="5">
        <f>Y250*100</f>
        <v>18.536171983941603</v>
      </c>
    </row>
    <row r="251" spans="1:26" hidden="1" x14ac:dyDescent="0.2">
      <c r="A251" t="s">
        <v>500</v>
      </c>
      <c r="B251" t="s">
        <v>30</v>
      </c>
      <c r="C251">
        <v>2.8</v>
      </c>
      <c r="D251">
        <v>65</v>
      </c>
      <c r="E251">
        <v>6.7726148452150579</v>
      </c>
      <c r="F251">
        <v>6.0719510328886157</v>
      </c>
      <c r="G251">
        <v>1705.2161562017779</v>
      </c>
      <c r="H251">
        <v>0</v>
      </c>
      <c r="I251">
        <v>0.9</v>
      </c>
      <c r="J251" t="b">
        <v>1</v>
      </c>
      <c r="K251">
        <v>1E+20</v>
      </c>
      <c r="L251">
        <v>0.3</v>
      </c>
      <c r="M251" t="b">
        <v>1</v>
      </c>
      <c r="N251">
        <v>100000000000</v>
      </c>
      <c r="O251">
        <v>0.36458612097009618</v>
      </c>
      <c r="P251">
        <v>0.1899309606270578</v>
      </c>
      <c r="Q251">
        <v>0.13495578041105061</v>
      </c>
      <c r="R251" t="s">
        <v>527</v>
      </c>
      <c r="S251" t="s">
        <v>528</v>
      </c>
      <c r="T251">
        <v>1.289935148733321</v>
      </c>
      <c r="U251">
        <v>214.33062664579069</v>
      </c>
      <c r="V251">
        <v>200.20635401566949</v>
      </c>
    </row>
    <row r="252" spans="1:26" x14ac:dyDescent="0.2">
      <c r="A252" t="s">
        <v>500</v>
      </c>
      <c r="B252" t="s">
        <v>30</v>
      </c>
      <c r="C252">
        <v>2.7</v>
      </c>
      <c r="D252">
        <v>65</v>
      </c>
      <c r="E252">
        <v>6.9110441231129753</v>
      </c>
      <c r="F252">
        <v>6.2114891049599503</v>
      </c>
      <c r="G252">
        <v>1682.503692201781</v>
      </c>
      <c r="H252">
        <v>0</v>
      </c>
      <c r="I252">
        <v>0.8</v>
      </c>
      <c r="J252" t="b">
        <v>1</v>
      </c>
      <c r="K252">
        <v>1E+21</v>
      </c>
      <c r="L252">
        <v>0.3</v>
      </c>
      <c r="M252" t="b">
        <v>1</v>
      </c>
      <c r="N252">
        <v>100000000000</v>
      </c>
      <c r="O252">
        <v>0.36359230753539362</v>
      </c>
      <c r="P252">
        <v>0.1887138115759274</v>
      </c>
      <c r="Q252">
        <v>0.13122629748701239</v>
      </c>
      <c r="R252" t="s">
        <v>529</v>
      </c>
      <c r="S252" t="s">
        <v>530</v>
      </c>
      <c r="T252">
        <v>1.289935148733321</v>
      </c>
      <c r="U252">
        <v>209.75741436634931</v>
      </c>
      <c r="V252">
        <v>200.08944906458891</v>
      </c>
      <c r="W252">
        <f>VALUE(","&amp;MID(R252,4,10))</f>
        <v>0.16834510859999999</v>
      </c>
      <c r="X252">
        <f>((O252-0.364)/0.0012)^2+((W252-0.174)/0.016)^2</f>
        <v>0.24033906416104586</v>
      </c>
      <c r="Y252">
        <f>((O252-O$8)/0.0012)^2+((W252-W$8)/0.016)^2</f>
        <v>0.32476687885074679</v>
      </c>
      <c r="Z252" s="5">
        <f>Y252*100</f>
        <v>32.476687885074682</v>
      </c>
    </row>
    <row r="253" spans="1:26" hidden="1" x14ac:dyDescent="0.2">
      <c r="A253" t="s">
        <v>500</v>
      </c>
      <c r="B253" t="s">
        <v>30</v>
      </c>
      <c r="C253">
        <v>2.7</v>
      </c>
      <c r="D253">
        <v>65</v>
      </c>
      <c r="E253">
        <v>6.9110441231129753</v>
      </c>
      <c r="F253">
        <v>6.2114891049599503</v>
      </c>
      <c r="G253">
        <v>1682.503692201781</v>
      </c>
      <c r="H253">
        <v>0</v>
      </c>
      <c r="I253">
        <v>0.8</v>
      </c>
      <c r="J253" t="b">
        <v>1</v>
      </c>
      <c r="K253">
        <v>1E+20</v>
      </c>
      <c r="L253">
        <v>0.3</v>
      </c>
      <c r="M253" t="b">
        <v>1</v>
      </c>
      <c r="N253">
        <v>100000000000</v>
      </c>
      <c r="O253">
        <v>0.36359230753539362</v>
      </c>
      <c r="P253">
        <v>0.1887138115759274</v>
      </c>
      <c r="Q253">
        <v>0.13122629748701239</v>
      </c>
      <c r="R253" t="s">
        <v>531</v>
      </c>
      <c r="S253" t="s">
        <v>532</v>
      </c>
      <c r="T253">
        <v>1.289935148733321</v>
      </c>
      <c r="U253">
        <v>213.56612987744629</v>
      </c>
      <c r="V253">
        <v>200.08944906458891</v>
      </c>
    </row>
    <row r="254" spans="1:26" hidden="1" x14ac:dyDescent="0.2">
      <c r="A254" t="s">
        <v>500</v>
      </c>
      <c r="B254" t="s">
        <v>30</v>
      </c>
      <c r="C254">
        <v>2.7</v>
      </c>
      <c r="D254">
        <v>65</v>
      </c>
      <c r="E254">
        <v>6.9110441231129753</v>
      </c>
      <c r="F254">
        <v>6.2114891049599503</v>
      </c>
      <c r="G254">
        <v>1682.503692201781</v>
      </c>
      <c r="H254">
        <v>0</v>
      </c>
      <c r="I254">
        <v>0.8</v>
      </c>
      <c r="J254" t="b">
        <v>1</v>
      </c>
      <c r="K254">
        <v>1E+19</v>
      </c>
      <c r="L254">
        <v>0.3</v>
      </c>
      <c r="M254" t="b">
        <v>1</v>
      </c>
      <c r="N254">
        <v>100000000000</v>
      </c>
      <c r="O254">
        <v>0.36359230753539362</v>
      </c>
      <c r="P254">
        <v>0.1887138115759274</v>
      </c>
      <c r="Q254">
        <v>0.13122629748701239</v>
      </c>
      <c r="R254" t="s">
        <v>533</v>
      </c>
      <c r="S254" t="s">
        <v>534</v>
      </c>
      <c r="T254">
        <v>1.289935148733321</v>
      </c>
      <c r="U254">
        <v>226.32735603107221</v>
      </c>
      <c r="V254">
        <v>200.08944906458891</v>
      </c>
    </row>
    <row r="255" spans="1:26" x14ac:dyDescent="0.2">
      <c r="A255" t="s">
        <v>500</v>
      </c>
      <c r="B255" t="s">
        <v>30</v>
      </c>
      <c r="C255">
        <v>2.7</v>
      </c>
      <c r="D255">
        <v>60</v>
      </c>
      <c r="E255">
        <v>6.9102287689411321</v>
      </c>
      <c r="F255">
        <v>6.2138592824245977</v>
      </c>
      <c r="G255">
        <v>1676.6559482017819</v>
      </c>
      <c r="H255">
        <v>0</v>
      </c>
      <c r="I255">
        <v>0.8</v>
      </c>
      <c r="J255" t="b">
        <v>1</v>
      </c>
      <c r="K255">
        <v>1E+21</v>
      </c>
      <c r="L255">
        <v>0.3</v>
      </c>
      <c r="M255" t="b">
        <v>1</v>
      </c>
      <c r="N255">
        <v>100000000000</v>
      </c>
      <c r="O255">
        <v>0.36395874261602318</v>
      </c>
      <c r="P255">
        <v>0.18802857532759421</v>
      </c>
      <c r="Q255">
        <v>0.13065531023588961</v>
      </c>
      <c r="R255" t="s">
        <v>535</v>
      </c>
      <c r="S255" t="s">
        <v>536</v>
      </c>
      <c r="T255">
        <v>1.289935148733321</v>
      </c>
      <c r="U255">
        <v>209.7846623794342</v>
      </c>
      <c r="V255">
        <v>200.18695223143979</v>
      </c>
      <c r="W255">
        <f>VALUE(","&amp;MID(R255,4,10))</f>
        <v>0.16746648180000001</v>
      </c>
      <c r="X255">
        <f>((O255-0.364)/0.0012)^2+((W255-0.174)/0.016)^2</f>
        <v>0.16792761085058788</v>
      </c>
      <c r="Y255">
        <f>((O255-O$8)/0.0012)^2+((W255-W$8)/0.016)^2</f>
        <v>7.1107317225212005E-2</v>
      </c>
      <c r="Z255" s="5">
        <f>Y255*100</f>
        <v>7.1107317225212006</v>
      </c>
    </row>
    <row r="256" spans="1:26" hidden="1" x14ac:dyDescent="0.2">
      <c r="A256" t="s">
        <v>500</v>
      </c>
      <c r="B256" t="s">
        <v>30</v>
      </c>
      <c r="C256">
        <v>2.7</v>
      </c>
      <c r="D256">
        <v>60</v>
      </c>
      <c r="E256">
        <v>6.9102287689411321</v>
      </c>
      <c r="F256">
        <v>6.2138592824245977</v>
      </c>
      <c r="G256">
        <v>1676.6559482017819</v>
      </c>
      <c r="H256">
        <v>0</v>
      </c>
      <c r="I256">
        <v>0.8</v>
      </c>
      <c r="J256" t="b">
        <v>1</v>
      </c>
      <c r="K256">
        <v>1E+20</v>
      </c>
      <c r="L256">
        <v>0.3</v>
      </c>
      <c r="M256" t="b">
        <v>1</v>
      </c>
      <c r="N256">
        <v>100000000000</v>
      </c>
      <c r="O256">
        <v>0.36395874261602318</v>
      </c>
      <c r="P256">
        <v>0.18802857532759421</v>
      </c>
      <c r="Q256">
        <v>0.13065531023588961</v>
      </c>
      <c r="R256" t="s">
        <v>537</v>
      </c>
      <c r="S256" t="s">
        <v>538</v>
      </c>
      <c r="T256">
        <v>1.289935148733321</v>
      </c>
      <c r="U256">
        <v>213.56446760104771</v>
      </c>
      <c r="V256">
        <v>200.18695223143979</v>
      </c>
    </row>
    <row r="257" spans="1:26" hidden="1" x14ac:dyDescent="0.2">
      <c r="A257" t="s">
        <v>500</v>
      </c>
      <c r="B257" t="s">
        <v>30</v>
      </c>
      <c r="C257">
        <v>2.7</v>
      </c>
      <c r="D257">
        <v>60</v>
      </c>
      <c r="E257">
        <v>6.9102287689411321</v>
      </c>
      <c r="F257">
        <v>6.2138592824245977</v>
      </c>
      <c r="G257">
        <v>1676.6559482017819</v>
      </c>
      <c r="H257">
        <v>0</v>
      </c>
      <c r="I257">
        <v>0.8</v>
      </c>
      <c r="J257" t="b">
        <v>1</v>
      </c>
      <c r="K257">
        <v>1E+19</v>
      </c>
      <c r="L257">
        <v>0.3</v>
      </c>
      <c r="M257" t="b">
        <v>1</v>
      </c>
      <c r="N257">
        <v>100000000000</v>
      </c>
      <c r="O257">
        <v>0.36395874261602318</v>
      </c>
      <c r="P257">
        <v>0.18802857532759421</v>
      </c>
      <c r="Q257">
        <v>0.13065531023588961</v>
      </c>
      <c r="R257" t="s">
        <v>539</v>
      </c>
      <c r="S257" t="s">
        <v>540</v>
      </c>
      <c r="T257">
        <v>1.289935148733321</v>
      </c>
      <c r="U257">
        <v>226.22802667605691</v>
      </c>
      <c r="V257">
        <v>200.18695223143979</v>
      </c>
    </row>
    <row r="258" spans="1:26" x14ac:dyDescent="0.2">
      <c r="A258" t="s">
        <v>500</v>
      </c>
      <c r="B258" t="s">
        <v>30</v>
      </c>
      <c r="C258">
        <v>2.7</v>
      </c>
      <c r="D258">
        <v>55</v>
      </c>
      <c r="E258">
        <v>6.9086994549185388</v>
      </c>
      <c r="F258">
        <v>6.2161968689202904</v>
      </c>
      <c r="G258">
        <v>1670.8082042017829</v>
      </c>
      <c r="H258">
        <v>0</v>
      </c>
      <c r="I258">
        <v>0.8</v>
      </c>
      <c r="J258" t="b">
        <v>1</v>
      </c>
      <c r="K258">
        <v>1E+21</v>
      </c>
      <c r="L258">
        <v>0.3</v>
      </c>
      <c r="M258" t="b">
        <v>1</v>
      </c>
      <c r="N258">
        <v>100000000000</v>
      </c>
      <c r="O258">
        <v>0.36432866926593072</v>
      </c>
      <c r="P258">
        <v>0.1873381530087318</v>
      </c>
      <c r="Q258">
        <v>0.13009096691652691</v>
      </c>
      <c r="R258" t="s">
        <v>541</v>
      </c>
      <c r="S258" t="s">
        <v>542</v>
      </c>
      <c r="T258">
        <v>1.289935148733321</v>
      </c>
      <c r="U258">
        <v>209.80712914820111</v>
      </c>
      <c r="V258">
        <v>200.28288252993119</v>
      </c>
      <c r="W258">
        <f>VALUE(","&amp;MID(R258,4,10))</f>
        <v>0.16659770099999999</v>
      </c>
      <c r="X258">
        <f>((O258-0.364)/0.0012)^2+((W258-0.174)/0.016)^2</f>
        <v>0.28905549156098798</v>
      </c>
      <c r="Y258">
        <f>((O258-O$8)/0.0012)^2+((W258-W$8)/0.016)^2</f>
        <v>1.0107835829174242E-2</v>
      </c>
      <c r="Z258" s="5">
        <f>Y258*100</f>
        <v>1.0107835829174243</v>
      </c>
    </row>
    <row r="259" spans="1:26" hidden="1" x14ac:dyDescent="0.2">
      <c r="A259" t="s">
        <v>500</v>
      </c>
      <c r="B259" t="s">
        <v>30</v>
      </c>
      <c r="C259">
        <v>2.7</v>
      </c>
      <c r="D259">
        <v>55</v>
      </c>
      <c r="E259">
        <v>6.9086994549185388</v>
      </c>
      <c r="F259">
        <v>6.2161968689202904</v>
      </c>
      <c r="G259">
        <v>1670.8082042017829</v>
      </c>
      <c r="H259">
        <v>0</v>
      </c>
      <c r="I259">
        <v>0.8</v>
      </c>
      <c r="J259" t="b">
        <v>1</v>
      </c>
      <c r="K259">
        <v>1E+20</v>
      </c>
      <c r="L259">
        <v>0.3</v>
      </c>
      <c r="M259" t="b">
        <v>1</v>
      </c>
      <c r="N259">
        <v>100000000000</v>
      </c>
      <c r="O259">
        <v>0.36432866926593072</v>
      </c>
      <c r="P259">
        <v>0.1873381530087318</v>
      </c>
      <c r="Q259">
        <v>0.13009096691652691</v>
      </c>
      <c r="R259" t="s">
        <v>543</v>
      </c>
      <c r="S259" t="s">
        <v>544</v>
      </c>
      <c r="T259">
        <v>1.289935148733321</v>
      </c>
      <c r="U259">
        <v>213.56465490686011</v>
      </c>
      <c r="V259">
        <v>200.28288252993119</v>
      </c>
    </row>
    <row r="260" spans="1:26" hidden="1" x14ac:dyDescent="0.2">
      <c r="A260" t="s">
        <v>500</v>
      </c>
      <c r="B260" t="s">
        <v>30</v>
      </c>
      <c r="C260">
        <v>2.7</v>
      </c>
      <c r="D260">
        <v>55</v>
      </c>
      <c r="E260">
        <v>6.9086994549185388</v>
      </c>
      <c r="F260">
        <v>6.2161968689202904</v>
      </c>
      <c r="G260">
        <v>1670.8082042017829</v>
      </c>
      <c r="H260">
        <v>0</v>
      </c>
      <c r="I260">
        <v>0.8</v>
      </c>
      <c r="J260" t="b">
        <v>1</v>
      </c>
      <c r="K260">
        <v>1E+19</v>
      </c>
      <c r="L260">
        <v>0.3</v>
      </c>
      <c r="M260" t="b">
        <v>1</v>
      </c>
      <c r="N260">
        <v>100000000000</v>
      </c>
      <c r="O260">
        <v>0.36432866926593072</v>
      </c>
      <c r="P260">
        <v>0.1873381530087318</v>
      </c>
      <c r="Q260">
        <v>0.13009096691652691</v>
      </c>
      <c r="R260" t="s">
        <v>545</v>
      </c>
      <c r="S260" t="s">
        <v>546</v>
      </c>
      <c r="T260">
        <v>1.289935148733321</v>
      </c>
      <c r="U260">
        <v>226.13015486734881</v>
      </c>
      <c r="V260">
        <v>200.28288252993119</v>
      </c>
    </row>
    <row r="261" spans="1:26" x14ac:dyDescent="0.2">
      <c r="A261" t="s">
        <v>500</v>
      </c>
      <c r="B261" t="s">
        <v>30</v>
      </c>
      <c r="C261">
        <v>2.8</v>
      </c>
      <c r="D261">
        <v>70</v>
      </c>
      <c r="E261">
        <v>6.9108025097776009</v>
      </c>
      <c r="F261">
        <v>6.2140152295640112</v>
      </c>
      <c r="G261">
        <v>1676.1477242017811</v>
      </c>
      <c r="H261">
        <v>0</v>
      </c>
      <c r="I261">
        <v>0.8</v>
      </c>
      <c r="J261" t="b">
        <v>1</v>
      </c>
      <c r="K261">
        <v>1E+21</v>
      </c>
      <c r="L261">
        <v>0.3</v>
      </c>
      <c r="M261" t="b">
        <v>1</v>
      </c>
      <c r="N261">
        <v>100000000000</v>
      </c>
      <c r="O261">
        <v>0.36400783616055488</v>
      </c>
      <c r="P261">
        <v>0.18797837290486979</v>
      </c>
      <c r="Q261">
        <v>0.13062825079931001</v>
      </c>
      <c r="R261" t="s">
        <v>547</v>
      </c>
      <c r="S261" t="s">
        <v>548</v>
      </c>
      <c r="T261">
        <v>1.289935148733321</v>
      </c>
      <c r="U261">
        <v>209.78490640127191</v>
      </c>
      <c r="V261">
        <v>200.19926114428449</v>
      </c>
      <c r="W261">
        <f>VALUE(","&amp;MID(R261,4,10))</f>
        <v>0.16741814960000001</v>
      </c>
      <c r="X261">
        <f>((O261-0.364)/0.0012)^2+((W261-0.174)/0.016)^2</f>
        <v>0.16926434064731158</v>
      </c>
      <c r="Y261">
        <f>((O261-O$8)/0.0012)^2+((W261-W$8)/0.016)^2</f>
        <v>5.1389827835945506E-2</v>
      </c>
      <c r="Z261" s="5">
        <f>Y261*100</f>
        <v>5.1389827835945505</v>
      </c>
    </row>
    <row r="262" spans="1:26" hidden="1" x14ac:dyDescent="0.2">
      <c r="A262" t="s">
        <v>500</v>
      </c>
      <c r="B262" t="s">
        <v>30</v>
      </c>
      <c r="C262">
        <v>2.8</v>
      </c>
      <c r="D262">
        <v>70</v>
      </c>
      <c r="E262">
        <v>6.9108025097776009</v>
      </c>
      <c r="F262">
        <v>6.2140152295640112</v>
      </c>
      <c r="G262">
        <v>1676.1477242017811</v>
      </c>
      <c r="H262">
        <v>0</v>
      </c>
      <c r="I262">
        <v>0.8</v>
      </c>
      <c r="J262" t="b">
        <v>1</v>
      </c>
      <c r="K262">
        <v>1E+20</v>
      </c>
      <c r="L262">
        <v>0.3</v>
      </c>
      <c r="M262" t="b">
        <v>1</v>
      </c>
      <c r="N262">
        <v>100000000000</v>
      </c>
      <c r="O262">
        <v>0.36400783616055488</v>
      </c>
      <c r="P262">
        <v>0.18797837290486979</v>
      </c>
      <c r="Q262">
        <v>0.13062825079931001</v>
      </c>
      <c r="R262" t="s">
        <v>549</v>
      </c>
      <c r="S262" t="s">
        <v>550</v>
      </c>
      <c r="T262">
        <v>1.289935148733321</v>
      </c>
      <c r="U262">
        <v>213.55339771307959</v>
      </c>
      <c r="V262">
        <v>200.19926114428449</v>
      </c>
    </row>
    <row r="263" spans="1:26" hidden="1" x14ac:dyDescent="0.2">
      <c r="A263" t="s">
        <v>500</v>
      </c>
      <c r="B263" t="s">
        <v>30</v>
      </c>
      <c r="C263">
        <v>2.8</v>
      </c>
      <c r="D263">
        <v>70</v>
      </c>
      <c r="E263">
        <v>6.9108025097776009</v>
      </c>
      <c r="F263">
        <v>6.2140152295640112</v>
      </c>
      <c r="G263">
        <v>1676.1477242017811</v>
      </c>
      <c r="H263">
        <v>0</v>
      </c>
      <c r="I263">
        <v>0.8</v>
      </c>
      <c r="J263" t="b">
        <v>1</v>
      </c>
      <c r="K263">
        <v>1E+19</v>
      </c>
      <c r="L263">
        <v>0.3</v>
      </c>
      <c r="M263" t="b">
        <v>1</v>
      </c>
      <c r="N263">
        <v>100000000000</v>
      </c>
      <c r="O263">
        <v>0.36400783616055488</v>
      </c>
      <c r="P263">
        <v>0.18797837290486979</v>
      </c>
      <c r="Q263">
        <v>0.13062825079931001</v>
      </c>
      <c r="R263" t="s">
        <v>551</v>
      </c>
      <c r="S263" t="s">
        <v>552</v>
      </c>
      <c r="T263">
        <v>1.289935148733321</v>
      </c>
      <c r="U263">
        <v>226.15092791195181</v>
      </c>
      <c r="V263">
        <v>200.19926114428449</v>
      </c>
    </row>
    <row r="264" spans="1:26" s="4" customFormat="1" x14ac:dyDescent="0.2">
      <c r="A264" s="4" t="s">
        <v>500</v>
      </c>
      <c r="B264" s="4" t="s">
        <v>30</v>
      </c>
      <c r="C264" s="4">
        <v>2.8</v>
      </c>
      <c r="D264" s="4">
        <v>65</v>
      </c>
      <c r="E264" s="4">
        <v>6.9069250992634048</v>
      </c>
      <c r="F264" s="4">
        <v>6.2159221899769479</v>
      </c>
      <c r="G264" s="4">
        <v>1671.316956201782</v>
      </c>
      <c r="H264" s="4">
        <v>0</v>
      </c>
      <c r="I264" s="4">
        <v>0.8</v>
      </c>
      <c r="J264" s="4" t="b">
        <v>1</v>
      </c>
      <c r="K264" s="4">
        <v>1E+21</v>
      </c>
      <c r="L264" s="4">
        <v>0.3</v>
      </c>
      <c r="M264" s="4" t="b">
        <v>1</v>
      </c>
      <c r="N264" s="4">
        <v>100000000000</v>
      </c>
      <c r="O264" s="4">
        <v>0.36432362559387299</v>
      </c>
      <c r="P264" s="4">
        <v>0.18738294053659979</v>
      </c>
      <c r="Q264" s="4">
        <v>0.1301663777778066</v>
      </c>
      <c r="R264" s="4" t="s">
        <v>553</v>
      </c>
      <c r="S264" s="4" t="s">
        <v>554</v>
      </c>
      <c r="T264" s="4">
        <v>1.289935148733321</v>
      </c>
      <c r="U264" s="4">
        <v>209.80532948486081</v>
      </c>
      <c r="V264" s="4">
        <v>200.27935025956589</v>
      </c>
      <c r="W264" s="4">
        <f>VALUE(","&amp;MID(R264,4,10))</f>
        <v>0.16670514950000001</v>
      </c>
      <c r="X264" s="4">
        <f>((O264-0.364)/0.0012)^2+((W264-0.174)/0.016)^2</f>
        <v>0.28060209825155935</v>
      </c>
      <c r="Y264" s="4">
        <f>((O264-O$8)/0.0012)^2+((W264-W$8)/0.016)^2</f>
        <v>8.5864688205063763E-3</v>
      </c>
      <c r="Z264" s="6">
        <f>Y264*100</f>
        <v>0.85864688205063766</v>
      </c>
    </row>
    <row r="265" spans="1:26" hidden="1" x14ac:dyDescent="0.2">
      <c r="A265" t="s">
        <v>500</v>
      </c>
      <c r="B265" t="s">
        <v>30</v>
      </c>
      <c r="C265">
        <v>2.8</v>
      </c>
      <c r="D265">
        <v>65</v>
      </c>
      <c r="E265">
        <v>6.9069250992634048</v>
      </c>
      <c r="F265">
        <v>6.2159221899769479</v>
      </c>
      <c r="G265">
        <v>1671.316956201782</v>
      </c>
      <c r="H265">
        <v>0</v>
      </c>
      <c r="I265">
        <v>0.8</v>
      </c>
      <c r="J265" t="b">
        <v>1</v>
      </c>
      <c r="K265">
        <v>1E+20</v>
      </c>
      <c r="L265">
        <v>0.3</v>
      </c>
      <c r="M265" t="b">
        <v>1</v>
      </c>
      <c r="N265">
        <v>100000000000</v>
      </c>
      <c r="O265">
        <v>0.36432362559387299</v>
      </c>
      <c r="P265">
        <v>0.18738294053659979</v>
      </c>
      <c r="Q265">
        <v>0.1301663777778066</v>
      </c>
      <c r="R265" t="s">
        <v>555</v>
      </c>
      <c r="S265" t="s">
        <v>556</v>
      </c>
      <c r="T265">
        <v>1.289935148733321</v>
      </c>
      <c r="U265">
        <v>213.55675014336111</v>
      </c>
      <c r="V265">
        <v>200.27935025956589</v>
      </c>
    </row>
    <row r="266" spans="1:26" hidden="1" x14ac:dyDescent="0.2">
      <c r="A266" t="s">
        <v>500</v>
      </c>
      <c r="B266" t="s">
        <v>30</v>
      </c>
      <c r="C266">
        <v>2.8</v>
      </c>
      <c r="D266">
        <v>65</v>
      </c>
      <c r="E266">
        <v>6.9069250992634048</v>
      </c>
      <c r="F266">
        <v>6.2159221899769479</v>
      </c>
      <c r="G266">
        <v>1671.316956201782</v>
      </c>
      <c r="H266">
        <v>0</v>
      </c>
      <c r="I266">
        <v>0.8</v>
      </c>
      <c r="J266" t="b">
        <v>1</v>
      </c>
      <c r="K266">
        <v>1E+19</v>
      </c>
      <c r="L266">
        <v>0.3</v>
      </c>
      <c r="M266" t="b">
        <v>1</v>
      </c>
      <c r="N266">
        <v>100000000000</v>
      </c>
      <c r="O266">
        <v>0.36432362559387299</v>
      </c>
      <c r="P266">
        <v>0.18738294053659979</v>
      </c>
      <c r="Q266">
        <v>0.1301663777778066</v>
      </c>
      <c r="R266" t="s">
        <v>557</v>
      </c>
      <c r="S266" t="s">
        <v>558</v>
      </c>
      <c r="T266">
        <v>1.289935148733321</v>
      </c>
      <c r="U266">
        <v>226.081014009679</v>
      </c>
      <c r="V266">
        <v>200.27935025956589</v>
      </c>
    </row>
    <row r="267" spans="1:26" hidden="1" x14ac:dyDescent="0.2">
      <c r="A267" t="s">
        <v>500</v>
      </c>
      <c r="B267" t="s">
        <v>30</v>
      </c>
      <c r="C267">
        <v>2.7</v>
      </c>
      <c r="D267">
        <v>60</v>
      </c>
      <c r="E267">
        <v>7.0630798572137534</v>
      </c>
      <c r="F267">
        <v>6.374033409673789</v>
      </c>
      <c r="G267">
        <v>1641.4445485823369</v>
      </c>
      <c r="H267">
        <v>0</v>
      </c>
      <c r="I267">
        <v>0.7</v>
      </c>
      <c r="J267" t="b">
        <v>1</v>
      </c>
      <c r="K267">
        <v>1E+19</v>
      </c>
      <c r="L267">
        <v>0.3</v>
      </c>
      <c r="M267" t="b">
        <v>1</v>
      </c>
      <c r="N267">
        <v>100000000000</v>
      </c>
      <c r="O267">
        <v>0.36368581486245971</v>
      </c>
      <c r="P267">
        <v>0.18517425419653361</v>
      </c>
      <c r="Q267">
        <v>0.12590021518417729</v>
      </c>
      <c r="R267" t="s">
        <v>559</v>
      </c>
      <c r="S267" t="s">
        <v>560</v>
      </c>
      <c r="T267">
        <v>1.289935148733321</v>
      </c>
      <c r="U267">
        <v>224.64243505541049</v>
      </c>
      <c r="V267">
        <v>200.25051662237661</v>
      </c>
    </row>
    <row r="268" spans="1:26" hidden="1" x14ac:dyDescent="0.2">
      <c r="A268" t="s">
        <v>500</v>
      </c>
      <c r="B268" t="s">
        <v>30</v>
      </c>
      <c r="C268">
        <v>2.7</v>
      </c>
      <c r="D268">
        <v>60</v>
      </c>
      <c r="E268">
        <v>7.0630798572137534</v>
      </c>
      <c r="F268">
        <v>6.374033409673789</v>
      </c>
      <c r="G268">
        <v>1641.4445485823369</v>
      </c>
      <c r="H268">
        <v>0</v>
      </c>
      <c r="I268">
        <v>0.7</v>
      </c>
      <c r="J268" t="b">
        <v>1</v>
      </c>
      <c r="K268">
        <v>1E+18</v>
      </c>
      <c r="L268">
        <v>0.3</v>
      </c>
      <c r="M268" t="b">
        <v>1</v>
      </c>
      <c r="N268">
        <v>100000000000</v>
      </c>
      <c r="O268">
        <v>0.36368581486245971</v>
      </c>
      <c r="P268">
        <v>0.18517425419653361</v>
      </c>
      <c r="Q268">
        <v>0.12590021518417729</v>
      </c>
      <c r="R268" t="s">
        <v>561</v>
      </c>
      <c r="S268" t="s">
        <v>562</v>
      </c>
      <c r="T268">
        <v>1.289935148733321</v>
      </c>
      <c r="U268">
        <v>283.25673954144639</v>
      </c>
      <c r="V268">
        <v>200.25051662237661</v>
      </c>
    </row>
    <row r="269" spans="1:26" hidden="1" x14ac:dyDescent="0.2">
      <c r="A269" t="s">
        <v>500</v>
      </c>
      <c r="B269" t="s">
        <v>30</v>
      </c>
      <c r="C269">
        <v>2.7</v>
      </c>
      <c r="D269">
        <v>55</v>
      </c>
      <c r="E269">
        <v>7.0576721328403798</v>
      </c>
      <c r="F269">
        <v>6.3760411354141908</v>
      </c>
      <c r="G269">
        <v>1635.9606353314821</v>
      </c>
      <c r="H269">
        <v>0</v>
      </c>
      <c r="I269">
        <v>0.7</v>
      </c>
      <c r="J269" t="b">
        <v>1</v>
      </c>
      <c r="K269">
        <v>1E+19</v>
      </c>
      <c r="L269">
        <v>0.3</v>
      </c>
      <c r="M269" t="b">
        <v>1</v>
      </c>
      <c r="N269">
        <v>100000000000</v>
      </c>
      <c r="O269">
        <v>0.36406469948118442</v>
      </c>
      <c r="P269">
        <v>0.1844928809589243</v>
      </c>
      <c r="Q269">
        <v>0.12541781923726969</v>
      </c>
      <c r="R269" t="s">
        <v>563</v>
      </c>
      <c r="S269" t="s">
        <v>564</v>
      </c>
      <c r="T269">
        <v>1.289935148733321</v>
      </c>
      <c r="U269">
        <v>224.56080764259519</v>
      </c>
      <c r="V269">
        <v>200.3379835535172</v>
      </c>
    </row>
    <row r="270" spans="1:26" hidden="1" x14ac:dyDescent="0.2">
      <c r="A270" t="s">
        <v>500</v>
      </c>
      <c r="B270" t="s">
        <v>30</v>
      </c>
      <c r="C270">
        <v>2.7</v>
      </c>
      <c r="D270">
        <v>55</v>
      </c>
      <c r="E270">
        <v>7.0576721328403798</v>
      </c>
      <c r="F270">
        <v>6.3760411354141908</v>
      </c>
      <c r="G270">
        <v>1635.9606353314821</v>
      </c>
      <c r="H270">
        <v>0</v>
      </c>
      <c r="I270">
        <v>0.7</v>
      </c>
      <c r="J270" t="b">
        <v>1</v>
      </c>
      <c r="K270">
        <v>1E+18</v>
      </c>
      <c r="L270">
        <v>0.3</v>
      </c>
      <c r="M270" t="b">
        <v>1</v>
      </c>
      <c r="N270">
        <v>100000000000</v>
      </c>
      <c r="O270">
        <v>0.36406469948118442</v>
      </c>
      <c r="P270">
        <v>0.1844928809589243</v>
      </c>
      <c r="Q270">
        <v>0.12541781923726969</v>
      </c>
      <c r="R270" t="s">
        <v>565</v>
      </c>
      <c r="S270" t="s">
        <v>566</v>
      </c>
      <c r="T270">
        <v>1.289935148733321</v>
      </c>
      <c r="U270">
        <v>272.13359705104273</v>
      </c>
      <c r="V270">
        <v>200.3379835535172</v>
      </c>
    </row>
    <row r="271" spans="1:26" hidden="1" x14ac:dyDescent="0.2">
      <c r="A271" t="s">
        <v>500</v>
      </c>
      <c r="B271" t="s">
        <v>30</v>
      </c>
      <c r="C271">
        <v>2.7</v>
      </c>
      <c r="D271">
        <v>50</v>
      </c>
      <c r="E271">
        <v>7.0578133945419506</v>
      </c>
      <c r="F271">
        <v>6.3782375508184908</v>
      </c>
      <c r="G271">
        <v>1630.10283858356</v>
      </c>
      <c r="H271">
        <v>0</v>
      </c>
      <c r="I271">
        <v>0.7</v>
      </c>
      <c r="J271" t="b">
        <v>1</v>
      </c>
      <c r="K271">
        <v>1E+19</v>
      </c>
      <c r="L271">
        <v>0.3</v>
      </c>
      <c r="M271" t="b">
        <v>1</v>
      </c>
      <c r="N271">
        <v>100000000000</v>
      </c>
      <c r="O271">
        <v>0.36444004250997292</v>
      </c>
      <c r="P271">
        <v>0.18382323381962681</v>
      </c>
      <c r="Q271">
        <v>0.12490150446747419</v>
      </c>
      <c r="R271" t="s">
        <v>567</v>
      </c>
      <c r="S271" t="s">
        <v>568</v>
      </c>
      <c r="T271">
        <v>1.289935148733321</v>
      </c>
      <c r="U271">
        <v>224.3630434565415</v>
      </c>
      <c r="V271">
        <v>200.42847150582239</v>
      </c>
    </row>
    <row r="272" spans="1:26" hidden="1" x14ac:dyDescent="0.2">
      <c r="A272" t="s">
        <v>500</v>
      </c>
      <c r="B272" t="s">
        <v>30</v>
      </c>
      <c r="C272">
        <v>2.7</v>
      </c>
      <c r="D272">
        <v>50</v>
      </c>
      <c r="E272">
        <v>7.0578133945419506</v>
      </c>
      <c r="F272">
        <v>6.3782375508184908</v>
      </c>
      <c r="G272">
        <v>1630.10283858356</v>
      </c>
      <c r="H272">
        <v>0</v>
      </c>
      <c r="I272">
        <v>0.7</v>
      </c>
      <c r="J272" t="b">
        <v>1</v>
      </c>
      <c r="K272">
        <v>1E+18</v>
      </c>
      <c r="L272">
        <v>0.3</v>
      </c>
      <c r="M272" t="b">
        <v>1</v>
      </c>
      <c r="N272">
        <v>100000000000</v>
      </c>
      <c r="O272">
        <v>0.36444004250997292</v>
      </c>
      <c r="P272">
        <v>0.18382323381962681</v>
      </c>
      <c r="Q272">
        <v>0.12490150446747419</v>
      </c>
      <c r="R272" t="s">
        <v>569</v>
      </c>
      <c r="S272" t="s">
        <v>570</v>
      </c>
      <c r="T272">
        <v>1.289935148733321</v>
      </c>
      <c r="U272">
        <v>271.10075004355559</v>
      </c>
      <c r="V272">
        <v>200.42847150582239</v>
      </c>
    </row>
    <row r="273" spans="1:22" hidden="1" x14ac:dyDescent="0.2">
      <c r="A273" t="s">
        <v>500</v>
      </c>
      <c r="B273" t="s">
        <v>30</v>
      </c>
      <c r="C273">
        <v>2.8</v>
      </c>
      <c r="D273">
        <v>70</v>
      </c>
      <c r="E273">
        <v>7.0625892307867071</v>
      </c>
      <c r="F273">
        <v>6.374137835293376</v>
      </c>
      <c r="G273">
        <v>1641.010675965023</v>
      </c>
      <c r="H273">
        <v>0</v>
      </c>
      <c r="I273">
        <v>0.7</v>
      </c>
      <c r="J273" t="b">
        <v>1</v>
      </c>
      <c r="K273">
        <v>1E+19</v>
      </c>
      <c r="L273">
        <v>0.3</v>
      </c>
      <c r="M273" t="b">
        <v>1</v>
      </c>
      <c r="N273">
        <v>100000000000</v>
      </c>
      <c r="O273">
        <v>0.36373650485593262</v>
      </c>
      <c r="P273">
        <v>0.18512292363588301</v>
      </c>
      <c r="Q273">
        <v>0.12588036698326999</v>
      </c>
      <c r="R273" t="s">
        <v>571</v>
      </c>
      <c r="S273" t="s">
        <v>572</v>
      </c>
      <c r="T273">
        <v>1.289935148733321</v>
      </c>
      <c r="U273">
        <v>224.54434446975921</v>
      </c>
      <c r="V273">
        <v>200.26075695473159</v>
      </c>
    </row>
    <row r="274" spans="1:22" hidden="1" x14ac:dyDescent="0.2">
      <c r="A274" t="s">
        <v>500</v>
      </c>
      <c r="B274" t="s">
        <v>30</v>
      </c>
      <c r="C274">
        <v>2.8</v>
      </c>
      <c r="D274">
        <v>70</v>
      </c>
      <c r="E274">
        <v>7.0625892307867071</v>
      </c>
      <c r="F274">
        <v>6.374137835293376</v>
      </c>
      <c r="G274">
        <v>1641.010675965023</v>
      </c>
      <c r="H274">
        <v>0</v>
      </c>
      <c r="I274">
        <v>0.7</v>
      </c>
      <c r="J274" t="b">
        <v>1</v>
      </c>
      <c r="K274">
        <v>1E+18</v>
      </c>
      <c r="L274">
        <v>0.3</v>
      </c>
      <c r="M274" t="b">
        <v>1</v>
      </c>
      <c r="N274">
        <v>100000000000</v>
      </c>
      <c r="O274">
        <v>0.36373650485593262</v>
      </c>
      <c r="P274">
        <v>0.18512292363588301</v>
      </c>
      <c r="Q274">
        <v>0.12588036698326999</v>
      </c>
      <c r="R274" t="s">
        <v>573</v>
      </c>
      <c r="S274" t="s">
        <v>574</v>
      </c>
      <c r="T274">
        <v>1.289935148733321</v>
      </c>
      <c r="U274">
        <v>280.6229074901126</v>
      </c>
      <c r="V274">
        <v>200.26075695473159</v>
      </c>
    </row>
    <row r="275" spans="1:22" hidden="1" x14ac:dyDescent="0.2">
      <c r="A275" t="s">
        <v>500</v>
      </c>
      <c r="B275" t="s">
        <v>30</v>
      </c>
      <c r="C275">
        <v>2.8</v>
      </c>
      <c r="D275">
        <v>65</v>
      </c>
      <c r="E275">
        <v>7.0580023166432619</v>
      </c>
      <c r="F275">
        <v>6.3758577587400058</v>
      </c>
      <c r="G275">
        <v>1636.3311072170311</v>
      </c>
      <c r="H275">
        <v>0</v>
      </c>
      <c r="I275">
        <v>0.7</v>
      </c>
      <c r="J275" t="b">
        <v>1</v>
      </c>
      <c r="K275">
        <v>1E+19</v>
      </c>
      <c r="L275">
        <v>0.3</v>
      </c>
      <c r="M275" t="b">
        <v>1</v>
      </c>
      <c r="N275">
        <v>100000000000</v>
      </c>
      <c r="O275">
        <v>0.36405691637421389</v>
      </c>
      <c r="P275">
        <v>0.18454129444249309</v>
      </c>
      <c r="Q275">
        <v>0.12546965725441669</v>
      </c>
      <c r="R275" t="s">
        <v>575</v>
      </c>
      <c r="S275" t="s">
        <v>576</v>
      </c>
      <c r="T275">
        <v>1.289935148733321</v>
      </c>
      <c r="U275">
        <v>224.4677994775046</v>
      </c>
      <c r="V275">
        <v>200.3355317871935</v>
      </c>
    </row>
    <row r="276" spans="1:22" hidden="1" x14ac:dyDescent="0.2">
      <c r="A276" t="s">
        <v>500</v>
      </c>
      <c r="B276" t="s">
        <v>30</v>
      </c>
      <c r="C276">
        <v>2.8</v>
      </c>
      <c r="D276">
        <v>65</v>
      </c>
      <c r="E276">
        <v>7.0580023166432619</v>
      </c>
      <c r="F276">
        <v>6.3758577587400058</v>
      </c>
      <c r="G276">
        <v>1636.3311072170311</v>
      </c>
      <c r="H276">
        <v>0</v>
      </c>
      <c r="I276">
        <v>0.7</v>
      </c>
      <c r="J276" t="b">
        <v>1</v>
      </c>
      <c r="K276">
        <v>1E+18</v>
      </c>
      <c r="L276">
        <v>0.3</v>
      </c>
      <c r="M276" t="b">
        <v>1</v>
      </c>
      <c r="N276">
        <v>100000000000</v>
      </c>
      <c r="O276">
        <v>0.36405691637421389</v>
      </c>
      <c r="P276">
        <v>0.18454129444249309</v>
      </c>
      <c r="Q276">
        <v>0.12546965725441669</v>
      </c>
      <c r="R276" t="s">
        <v>577</v>
      </c>
      <c r="S276" t="s">
        <v>578</v>
      </c>
      <c r="T276">
        <v>1.289935148733321</v>
      </c>
      <c r="U276">
        <v>276.11679821489753</v>
      </c>
      <c r="V276">
        <v>200.3355317871935</v>
      </c>
    </row>
    <row r="277" spans="1:22" hidden="1" x14ac:dyDescent="0.2">
      <c r="A277" t="s">
        <v>500</v>
      </c>
      <c r="B277" t="s">
        <v>30</v>
      </c>
      <c r="C277">
        <v>2.8</v>
      </c>
      <c r="D277">
        <v>60</v>
      </c>
      <c r="E277">
        <v>7.0589664040841358</v>
      </c>
      <c r="F277">
        <v>6.3777679176610782</v>
      </c>
      <c r="G277">
        <v>1631.2902332431729</v>
      </c>
      <c r="H277">
        <v>0</v>
      </c>
      <c r="I277">
        <v>0.7</v>
      </c>
      <c r="J277" t="b">
        <v>1</v>
      </c>
      <c r="K277">
        <v>1E+19</v>
      </c>
      <c r="L277">
        <v>0.3</v>
      </c>
      <c r="M277" t="b">
        <v>1</v>
      </c>
      <c r="N277">
        <v>100000000000</v>
      </c>
      <c r="O277">
        <v>0.36437320809092638</v>
      </c>
      <c r="P277">
        <v>0.18397260221634229</v>
      </c>
      <c r="Q277">
        <v>0.12502151242828979</v>
      </c>
      <c r="R277" t="s">
        <v>579</v>
      </c>
      <c r="S277" t="s">
        <v>580</v>
      </c>
      <c r="T277">
        <v>1.289935148733321</v>
      </c>
      <c r="U277">
        <v>224.44677195662479</v>
      </c>
      <c r="V277">
        <v>200.41299604752211</v>
      </c>
    </row>
    <row r="278" spans="1:22" hidden="1" x14ac:dyDescent="0.2">
      <c r="A278" t="s">
        <v>500</v>
      </c>
      <c r="B278" t="s">
        <v>30</v>
      </c>
      <c r="C278">
        <v>2.8</v>
      </c>
      <c r="D278">
        <v>60</v>
      </c>
      <c r="E278">
        <v>7.0589664040841358</v>
      </c>
      <c r="F278">
        <v>6.3777679176610782</v>
      </c>
      <c r="G278">
        <v>1631.2902332431729</v>
      </c>
      <c r="H278">
        <v>0</v>
      </c>
      <c r="I278">
        <v>0.7</v>
      </c>
      <c r="J278" t="b">
        <v>1</v>
      </c>
      <c r="K278">
        <v>1E+18</v>
      </c>
      <c r="L278">
        <v>0.3</v>
      </c>
      <c r="M278" t="b">
        <v>1</v>
      </c>
      <c r="N278">
        <v>100000000000</v>
      </c>
      <c r="O278">
        <v>0.36437320809092638</v>
      </c>
      <c r="P278">
        <v>0.18397260221634229</v>
      </c>
      <c r="Q278">
        <v>0.12502151242828979</v>
      </c>
      <c r="R278" t="s">
        <v>581</v>
      </c>
      <c r="S278" t="s">
        <v>582</v>
      </c>
      <c r="T278">
        <v>1.289935148733321</v>
      </c>
      <c r="U278">
        <v>276.78895106288849</v>
      </c>
      <c r="V278">
        <v>200.41299604752211</v>
      </c>
    </row>
    <row r="279" spans="1:22" hidden="1" x14ac:dyDescent="0.2">
      <c r="A279" t="s">
        <v>500</v>
      </c>
      <c r="B279" t="s">
        <v>30</v>
      </c>
      <c r="C279">
        <v>2.9</v>
      </c>
      <c r="D279">
        <v>70</v>
      </c>
      <c r="E279">
        <v>7.0568682963874956</v>
      </c>
      <c r="F279">
        <v>6.3784560853706189</v>
      </c>
      <c r="G279">
        <v>1629.2376923764079</v>
      </c>
      <c r="H279">
        <v>0</v>
      </c>
      <c r="I279">
        <v>0.7</v>
      </c>
      <c r="J279" t="b">
        <v>1</v>
      </c>
      <c r="K279">
        <v>1E+19</v>
      </c>
      <c r="L279">
        <v>0.3</v>
      </c>
      <c r="M279" t="b">
        <v>1</v>
      </c>
      <c r="N279">
        <v>100000000000</v>
      </c>
      <c r="O279">
        <v>0.36453404237211351</v>
      </c>
      <c r="P279">
        <v>0.18372034647163091</v>
      </c>
      <c r="Q279">
        <v>0.1248667344102878</v>
      </c>
      <c r="R279" t="s">
        <v>583</v>
      </c>
      <c r="S279" t="s">
        <v>584</v>
      </c>
      <c r="T279">
        <v>1.289935148733321</v>
      </c>
      <c r="U279">
        <v>224.2743802499933</v>
      </c>
      <c r="V279">
        <v>200.44892270024269</v>
      </c>
    </row>
    <row r="280" spans="1:22" hidden="1" x14ac:dyDescent="0.2">
      <c r="A280" t="s">
        <v>500</v>
      </c>
      <c r="B280" t="s">
        <v>30</v>
      </c>
      <c r="C280">
        <v>2.9</v>
      </c>
      <c r="D280">
        <v>70</v>
      </c>
      <c r="E280">
        <v>7.0568682963874956</v>
      </c>
      <c r="F280">
        <v>6.3784560853706189</v>
      </c>
      <c r="G280">
        <v>1629.2376923764079</v>
      </c>
      <c r="H280">
        <v>0</v>
      </c>
      <c r="I280">
        <v>0.7</v>
      </c>
      <c r="J280" t="b">
        <v>1</v>
      </c>
      <c r="K280">
        <v>1E+18</v>
      </c>
      <c r="L280">
        <v>0.3</v>
      </c>
      <c r="M280" t="b">
        <v>1</v>
      </c>
      <c r="N280">
        <v>100000000000</v>
      </c>
      <c r="O280">
        <v>0.36453404237211351</v>
      </c>
      <c r="P280">
        <v>0.18372034647163091</v>
      </c>
      <c r="Q280">
        <v>0.1248667344102878</v>
      </c>
      <c r="R280" t="s">
        <v>585</v>
      </c>
      <c r="S280" t="s">
        <v>586</v>
      </c>
      <c r="T280">
        <v>1.289935148733321</v>
      </c>
      <c r="U280">
        <v>272.61207311351211</v>
      </c>
      <c r="V280">
        <v>200.44892270024269</v>
      </c>
    </row>
    <row r="281" spans="1:22" hidden="1" x14ac:dyDescent="0.2">
      <c r="A281" t="s">
        <v>500</v>
      </c>
      <c r="B281" t="s">
        <v>30</v>
      </c>
      <c r="C281">
        <v>2.7</v>
      </c>
      <c r="D281">
        <v>60</v>
      </c>
      <c r="E281">
        <v>7.2308881453114768</v>
      </c>
      <c r="F281">
        <v>6.5531381554018164</v>
      </c>
      <c r="G281">
        <v>1605.299635476706</v>
      </c>
      <c r="H281">
        <v>0</v>
      </c>
      <c r="I281">
        <v>0.6</v>
      </c>
      <c r="J281" t="b">
        <v>1</v>
      </c>
      <c r="K281">
        <v>1E+18</v>
      </c>
      <c r="L281">
        <v>0.3</v>
      </c>
      <c r="M281" t="b">
        <v>1</v>
      </c>
      <c r="N281">
        <v>100000000000</v>
      </c>
      <c r="O281">
        <v>0.36341357118260598</v>
      </c>
      <c r="P281">
        <v>0.18190513488147611</v>
      </c>
      <c r="Q281">
        <v>0.1212724482586527</v>
      </c>
      <c r="R281" t="s">
        <v>587</v>
      </c>
      <c r="S281" t="s">
        <v>588</v>
      </c>
      <c r="T281">
        <v>1.289935148733321</v>
      </c>
      <c r="U281">
        <v>267.87908427509302</v>
      </c>
      <c r="V281">
        <v>200.29484413432519</v>
      </c>
    </row>
    <row r="282" spans="1:22" hidden="1" x14ac:dyDescent="0.2">
      <c r="A282" t="s">
        <v>500</v>
      </c>
      <c r="B282" t="s">
        <v>30</v>
      </c>
      <c r="C282">
        <v>2.7</v>
      </c>
      <c r="D282">
        <v>55</v>
      </c>
      <c r="E282">
        <v>7.2253274902789926</v>
      </c>
      <c r="F282">
        <v>6.5549479247890332</v>
      </c>
      <c r="G282">
        <v>1599.9539515359991</v>
      </c>
      <c r="H282">
        <v>0</v>
      </c>
      <c r="I282">
        <v>0.6</v>
      </c>
      <c r="J282" t="b">
        <v>1</v>
      </c>
      <c r="K282">
        <v>1E+18</v>
      </c>
      <c r="L282">
        <v>0.3</v>
      </c>
      <c r="M282" t="b">
        <v>1</v>
      </c>
      <c r="N282">
        <v>100000000000</v>
      </c>
      <c r="O282">
        <v>0.36379709167171032</v>
      </c>
      <c r="P282">
        <v>0.1812429131381264</v>
      </c>
      <c r="Q282">
        <v>0.1208473967111225</v>
      </c>
      <c r="R282" t="s">
        <v>589</v>
      </c>
      <c r="S282" t="s">
        <v>590</v>
      </c>
      <c r="T282">
        <v>1.289935148733321</v>
      </c>
      <c r="U282">
        <v>267.30730710133548</v>
      </c>
      <c r="V282">
        <v>200.37770145172499</v>
      </c>
    </row>
    <row r="283" spans="1:22" hidden="1" x14ac:dyDescent="0.2">
      <c r="A283" t="s">
        <v>500</v>
      </c>
      <c r="B283" t="s">
        <v>30</v>
      </c>
      <c r="C283">
        <v>2.7</v>
      </c>
      <c r="D283">
        <v>50</v>
      </c>
      <c r="E283">
        <v>7.2253459279380392</v>
      </c>
      <c r="F283">
        <v>6.5569425838983424</v>
      </c>
      <c r="G283">
        <v>1594.2413887123471</v>
      </c>
      <c r="H283">
        <v>0</v>
      </c>
      <c r="I283">
        <v>0.6</v>
      </c>
      <c r="J283" t="b">
        <v>1</v>
      </c>
      <c r="K283">
        <v>1E+18</v>
      </c>
      <c r="L283">
        <v>0.3</v>
      </c>
      <c r="M283" t="b">
        <v>1</v>
      </c>
      <c r="N283">
        <v>100000000000</v>
      </c>
      <c r="O283">
        <v>0.36417730055129333</v>
      </c>
      <c r="P283">
        <v>0.1805948198479139</v>
      </c>
      <c r="Q283">
        <v>0.12039075422288149</v>
      </c>
      <c r="R283" t="s">
        <v>591</v>
      </c>
      <c r="S283" t="s">
        <v>592</v>
      </c>
      <c r="T283">
        <v>1.289935148733321</v>
      </c>
      <c r="U283">
        <v>271.02586615319632</v>
      </c>
      <c r="V283">
        <v>200.46330167129469</v>
      </c>
    </row>
    <row r="284" spans="1:22" hidden="1" x14ac:dyDescent="0.2">
      <c r="A284" t="s">
        <v>500</v>
      </c>
      <c r="B284" t="s">
        <v>30</v>
      </c>
      <c r="C284">
        <v>2.7</v>
      </c>
      <c r="D284">
        <v>45</v>
      </c>
      <c r="E284">
        <v>7.2195795822287172</v>
      </c>
      <c r="F284">
        <v>6.5587362279746726</v>
      </c>
      <c r="G284">
        <v>1588.8200723284681</v>
      </c>
      <c r="H284">
        <v>0</v>
      </c>
      <c r="I284">
        <v>0.6</v>
      </c>
      <c r="J284" t="b">
        <v>1</v>
      </c>
      <c r="K284">
        <v>1E+18</v>
      </c>
      <c r="L284">
        <v>0.3</v>
      </c>
      <c r="M284" t="b">
        <v>1</v>
      </c>
      <c r="N284">
        <v>100000000000</v>
      </c>
      <c r="O284">
        <v>0.36456613654957493</v>
      </c>
      <c r="P284">
        <v>0.1799235039491888</v>
      </c>
      <c r="Q284">
        <v>0.11996625727386449</v>
      </c>
      <c r="R284" t="s">
        <v>593</v>
      </c>
      <c r="S284" t="s">
        <v>594</v>
      </c>
      <c r="T284">
        <v>1.289935148733321</v>
      </c>
      <c r="U284">
        <v>266.24455995584441</v>
      </c>
      <c r="V284">
        <v>200.544073434551</v>
      </c>
    </row>
    <row r="285" spans="1:22" hidden="1" x14ac:dyDescent="0.2">
      <c r="A285" t="s">
        <v>500</v>
      </c>
      <c r="B285" t="s">
        <v>30</v>
      </c>
      <c r="C285">
        <v>2.8</v>
      </c>
      <c r="D285">
        <v>70</v>
      </c>
      <c r="E285">
        <v>7.230396035191017</v>
      </c>
      <c r="F285">
        <v>6.5532279721111264</v>
      </c>
      <c r="G285">
        <v>1604.8757263878599</v>
      </c>
      <c r="H285">
        <v>0</v>
      </c>
      <c r="I285">
        <v>0.6</v>
      </c>
      <c r="J285" t="b">
        <v>1</v>
      </c>
      <c r="K285">
        <v>1E+18</v>
      </c>
      <c r="L285">
        <v>0.3</v>
      </c>
      <c r="M285" t="b">
        <v>1</v>
      </c>
      <c r="N285">
        <v>100000000000</v>
      </c>
      <c r="O285">
        <v>0.3634646189845161</v>
      </c>
      <c r="P285">
        <v>0.18185524409400991</v>
      </c>
      <c r="Q285">
        <v>0.1212880227417532</v>
      </c>
      <c r="R285" t="s">
        <v>595</v>
      </c>
      <c r="S285" t="s">
        <v>596</v>
      </c>
      <c r="T285">
        <v>1.289935148733321</v>
      </c>
      <c r="U285">
        <v>273.55453632845428</v>
      </c>
      <c r="V285">
        <v>200.3100122714805</v>
      </c>
    </row>
    <row r="286" spans="1:22" hidden="1" x14ac:dyDescent="0.2">
      <c r="A286" t="s">
        <v>500</v>
      </c>
      <c r="B286" t="s">
        <v>30</v>
      </c>
      <c r="C286">
        <v>2.8</v>
      </c>
      <c r="D286">
        <v>65</v>
      </c>
      <c r="E286">
        <v>7.2256578233714004</v>
      </c>
      <c r="F286">
        <v>6.5547803405355722</v>
      </c>
      <c r="G286">
        <v>1600.315032543175</v>
      </c>
      <c r="H286">
        <v>0</v>
      </c>
      <c r="I286">
        <v>0.6</v>
      </c>
      <c r="J286" t="b">
        <v>1</v>
      </c>
      <c r="K286">
        <v>1E+18</v>
      </c>
      <c r="L286">
        <v>0.3</v>
      </c>
      <c r="M286" t="b">
        <v>1</v>
      </c>
      <c r="N286">
        <v>100000000000</v>
      </c>
      <c r="O286">
        <v>0.36378900727051899</v>
      </c>
      <c r="P286">
        <v>0.18128989291321129</v>
      </c>
      <c r="Q286">
        <v>0.12090537103038269</v>
      </c>
      <c r="R286" t="s">
        <v>597</v>
      </c>
      <c r="S286" t="s">
        <v>598</v>
      </c>
      <c r="T286">
        <v>1.289935148733321</v>
      </c>
      <c r="U286">
        <v>267.35426755018358</v>
      </c>
      <c r="V286">
        <v>200.37724839626549</v>
      </c>
    </row>
    <row r="287" spans="1:22" hidden="1" x14ac:dyDescent="0.2">
      <c r="A287" t="s">
        <v>500</v>
      </c>
      <c r="B287" t="s">
        <v>30</v>
      </c>
      <c r="C287">
        <v>2.8</v>
      </c>
      <c r="D287">
        <v>60</v>
      </c>
      <c r="E287">
        <v>7.2265505910340471</v>
      </c>
      <c r="F287">
        <v>6.5565160784148064</v>
      </c>
      <c r="G287">
        <v>1595.398642037102</v>
      </c>
      <c r="H287">
        <v>0</v>
      </c>
      <c r="I287">
        <v>0.6</v>
      </c>
      <c r="J287" t="b">
        <v>1</v>
      </c>
      <c r="K287">
        <v>1E+18</v>
      </c>
      <c r="L287">
        <v>0.3</v>
      </c>
      <c r="M287" t="b">
        <v>1</v>
      </c>
      <c r="N287">
        <v>100000000000</v>
      </c>
      <c r="O287">
        <v>0.36410946273072309</v>
      </c>
      <c r="P287">
        <v>0.18074023641459219</v>
      </c>
      <c r="Q287">
        <v>0.1205210944323203</v>
      </c>
      <c r="R287" t="s">
        <v>599</v>
      </c>
      <c r="S287" t="s">
        <v>600</v>
      </c>
      <c r="T287">
        <v>1.289935148733321</v>
      </c>
      <c r="U287">
        <v>273.71928515767598</v>
      </c>
      <c r="V287">
        <v>200.45264763900721</v>
      </c>
    </row>
    <row r="288" spans="1:22" hidden="1" x14ac:dyDescent="0.2">
      <c r="A288" t="s">
        <v>500</v>
      </c>
      <c r="B288" t="s">
        <v>30</v>
      </c>
      <c r="C288">
        <v>2.8</v>
      </c>
      <c r="D288">
        <v>55</v>
      </c>
      <c r="E288">
        <v>7.2216374088726871</v>
      </c>
      <c r="F288">
        <v>6.5580536495513089</v>
      </c>
      <c r="G288">
        <v>1590.7865172319689</v>
      </c>
      <c r="H288">
        <v>0</v>
      </c>
      <c r="I288">
        <v>0.6</v>
      </c>
      <c r="J288" t="b">
        <v>1</v>
      </c>
      <c r="K288">
        <v>1E+18</v>
      </c>
      <c r="L288">
        <v>0.3</v>
      </c>
      <c r="M288" t="b">
        <v>1</v>
      </c>
      <c r="N288">
        <v>100000000000</v>
      </c>
      <c r="O288">
        <v>0.3644379663202103</v>
      </c>
      <c r="P288">
        <v>0.18016851710115511</v>
      </c>
      <c r="Q288">
        <v>0.12013455104418561</v>
      </c>
      <c r="R288" t="s">
        <v>601</v>
      </c>
      <c r="S288" t="s">
        <v>602</v>
      </c>
      <c r="T288">
        <v>1.289935148733321</v>
      </c>
      <c r="U288">
        <v>266.56827318885388</v>
      </c>
      <c r="V288">
        <v>200.51751968272251</v>
      </c>
    </row>
    <row r="289" spans="1:26" hidden="1" x14ac:dyDescent="0.2">
      <c r="A289" t="s">
        <v>500</v>
      </c>
      <c r="B289" t="s">
        <v>30</v>
      </c>
      <c r="C289">
        <v>2.9</v>
      </c>
      <c r="D289">
        <v>70</v>
      </c>
      <c r="E289">
        <v>7.2243711785437137</v>
      </c>
      <c r="F289">
        <v>6.5571328933364352</v>
      </c>
      <c r="G289">
        <v>1593.397022270347</v>
      </c>
      <c r="H289">
        <v>0</v>
      </c>
      <c r="I289">
        <v>0.6</v>
      </c>
      <c r="J289" t="b">
        <v>1</v>
      </c>
      <c r="K289">
        <v>1E+18</v>
      </c>
      <c r="L289">
        <v>0.3</v>
      </c>
      <c r="M289" t="b">
        <v>1</v>
      </c>
      <c r="N289">
        <v>100000000000</v>
      </c>
      <c r="O289">
        <v>0.36427202076206822</v>
      </c>
      <c r="P289">
        <v>0.18049463270688379</v>
      </c>
      <c r="Q289">
        <v>0.1203641938117861</v>
      </c>
      <c r="R289" t="s">
        <v>603</v>
      </c>
      <c r="S289" t="s">
        <v>604</v>
      </c>
      <c r="T289">
        <v>1.289935148733321</v>
      </c>
      <c r="U289">
        <v>270.0254145406717</v>
      </c>
      <c r="V289">
        <v>200.48292002605331</v>
      </c>
    </row>
    <row r="290" spans="1:26" hidden="1" x14ac:dyDescent="0.2">
      <c r="A290" t="s">
        <v>500</v>
      </c>
      <c r="B290" t="s">
        <v>30</v>
      </c>
      <c r="C290">
        <v>2.9</v>
      </c>
      <c r="D290">
        <v>65</v>
      </c>
      <c r="E290">
        <v>7.2203091117019529</v>
      </c>
      <c r="F290">
        <v>6.5584126591015499</v>
      </c>
      <c r="G290">
        <v>1589.5658628034521</v>
      </c>
      <c r="H290">
        <v>0</v>
      </c>
      <c r="I290">
        <v>0.6</v>
      </c>
      <c r="J290" t="b">
        <v>1</v>
      </c>
      <c r="K290">
        <v>1E+18</v>
      </c>
      <c r="L290">
        <v>0.3</v>
      </c>
      <c r="M290" t="b">
        <v>1</v>
      </c>
      <c r="N290">
        <v>100000000000</v>
      </c>
      <c r="O290">
        <v>0.36454213683998232</v>
      </c>
      <c r="P290">
        <v>0.18001962675954719</v>
      </c>
      <c r="Q290">
        <v>0.1200585788479978</v>
      </c>
      <c r="R290" t="s">
        <v>605</v>
      </c>
      <c r="S290" t="s">
        <v>606</v>
      </c>
      <c r="T290">
        <v>1.289935148733321</v>
      </c>
      <c r="U290">
        <v>268.8135117072938</v>
      </c>
      <c r="V290">
        <v>200.53900391964791</v>
      </c>
    </row>
    <row r="291" spans="1:26" hidden="1" x14ac:dyDescent="0.2">
      <c r="A291" t="s">
        <v>500</v>
      </c>
      <c r="B291" t="s">
        <v>30</v>
      </c>
      <c r="C291">
        <v>2.7</v>
      </c>
      <c r="D291">
        <v>55</v>
      </c>
      <c r="E291">
        <v>7.4183339546120433</v>
      </c>
      <c r="F291">
        <v>6.7570482188172223</v>
      </c>
      <c r="G291">
        <v>1562.430909684273</v>
      </c>
      <c r="H291">
        <v>0</v>
      </c>
      <c r="I291">
        <v>0.5</v>
      </c>
      <c r="J291" t="b">
        <v>1</v>
      </c>
      <c r="K291">
        <v>1E+18</v>
      </c>
      <c r="L291">
        <v>0.3</v>
      </c>
      <c r="M291" t="b">
        <v>1</v>
      </c>
      <c r="N291">
        <v>100000000000</v>
      </c>
      <c r="O291">
        <v>0.3635224087950974</v>
      </c>
      <c r="P291">
        <v>0.17744120039536079</v>
      </c>
      <c r="Q291">
        <v>0.1163782223347689</v>
      </c>
      <c r="R291" t="s">
        <v>607</v>
      </c>
      <c r="S291" t="s">
        <v>608</v>
      </c>
      <c r="T291">
        <v>1.289935148733321</v>
      </c>
      <c r="U291">
        <v>261.11965520312032</v>
      </c>
      <c r="V291">
        <v>200.40822476336999</v>
      </c>
    </row>
    <row r="292" spans="1:26" hidden="1" x14ac:dyDescent="0.2">
      <c r="A292" t="s">
        <v>500</v>
      </c>
      <c r="B292" t="s">
        <v>30</v>
      </c>
      <c r="C292">
        <v>2.8</v>
      </c>
      <c r="D292">
        <v>65</v>
      </c>
      <c r="E292">
        <v>7.4187004406057966</v>
      </c>
      <c r="F292">
        <v>6.7568943030750299</v>
      </c>
      <c r="G292">
        <v>1562.781679367846</v>
      </c>
      <c r="H292">
        <v>0</v>
      </c>
      <c r="I292">
        <v>0.5</v>
      </c>
      <c r="J292" t="b">
        <v>1</v>
      </c>
      <c r="K292">
        <v>1E+18</v>
      </c>
      <c r="L292">
        <v>0.3</v>
      </c>
      <c r="M292" t="b">
        <v>1</v>
      </c>
      <c r="N292">
        <v>100000000000</v>
      </c>
      <c r="O292">
        <v>0.36351398170141291</v>
      </c>
      <c r="P292">
        <v>0.177486848912567</v>
      </c>
      <c r="Q292">
        <v>0.1163946119248844</v>
      </c>
      <c r="R292" t="s">
        <v>609</v>
      </c>
      <c r="S292" t="s">
        <v>610</v>
      </c>
      <c r="T292">
        <v>1.289935148733321</v>
      </c>
      <c r="U292">
        <v>265.70934879268327</v>
      </c>
      <c r="V292">
        <v>200.40159444176189</v>
      </c>
    </row>
    <row r="293" spans="1:26" x14ac:dyDescent="0.2">
      <c r="A293" t="s">
        <v>500</v>
      </c>
      <c r="B293" t="s">
        <v>61</v>
      </c>
      <c r="C293">
        <v>2.7</v>
      </c>
      <c r="D293">
        <v>60</v>
      </c>
      <c r="E293">
        <v>6.7382553898691109</v>
      </c>
      <c r="F293">
        <v>6.0197565729870153</v>
      </c>
      <c r="G293">
        <v>1738.0135002017751</v>
      </c>
      <c r="H293">
        <v>0</v>
      </c>
      <c r="I293">
        <v>0.9</v>
      </c>
      <c r="J293" t="b">
        <v>1</v>
      </c>
      <c r="K293">
        <v>1E+21</v>
      </c>
      <c r="L293">
        <v>0.3</v>
      </c>
      <c r="M293" t="b">
        <v>1</v>
      </c>
      <c r="N293">
        <v>100000000000</v>
      </c>
      <c r="O293">
        <v>0.36365858725874323</v>
      </c>
      <c r="P293">
        <v>0.1930089020057672</v>
      </c>
      <c r="Q293">
        <v>0.1406630979553187</v>
      </c>
      <c r="R293" t="s">
        <v>611</v>
      </c>
      <c r="S293" t="s">
        <v>612</v>
      </c>
      <c r="T293">
        <v>1.289935148733321</v>
      </c>
      <c r="U293">
        <v>210.9940658092508</v>
      </c>
      <c r="V293">
        <v>200.09078881129039</v>
      </c>
      <c r="W293">
        <f t="shared" ref="W293:W300" si="12">VALUE(","&amp;MID(R293,4,10))</f>
        <v>0.1818133482</v>
      </c>
      <c r="X293">
        <f t="shared" ref="X293:X300" si="13">((O293-0.364)/0.0012)^2+((W293-0.174)/0.016)^2</f>
        <v>0.31941664352340438</v>
      </c>
      <c r="Y293">
        <f t="shared" ref="Y293:Y300" si="14">((O293-O$8)/0.0012)^2+((W293-W$8)/0.016)^2</f>
        <v>1.0051945428360793</v>
      </c>
      <c r="Z293" s="5">
        <f t="shared" ref="Z293:Z300" si="15">Y293*100</f>
        <v>100.51945428360793</v>
      </c>
    </row>
    <row r="294" spans="1:26" x14ac:dyDescent="0.2">
      <c r="A294" t="s">
        <v>500</v>
      </c>
      <c r="B294" t="s">
        <v>61</v>
      </c>
      <c r="C294">
        <v>2.7</v>
      </c>
      <c r="D294">
        <v>55</v>
      </c>
      <c r="E294">
        <v>6.7389578888004387</v>
      </c>
      <c r="F294">
        <v>6.0222794575494509</v>
      </c>
      <c r="G294">
        <v>1732.165756201776</v>
      </c>
      <c r="H294">
        <v>0</v>
      </c>
      <c r="I294">
        <v>0.9</v>
      </c>
      <c r="J294" t="b">
        <v>1</v>
      </c>
      <c r="K294">
        <v>1E+21</v>
      </c>
      <c r="L294">
        <v>0.3</v>
      </c>
      <c r="M294" t="b">
        <v>1</v>
      </c>
      <c r="N294">
        <v>100000000000</v>
      </c>
      <c r="O294">
        <v>0.3640081777192018</v>
      </c>
      <c r="P294">
        <v>0.19233010402010331</v>
      </c>
      <c r="Q294">
        <v>0.14002901131207321</v>
      </c>
      <c r="R294" t="s">
        <v>613</v>
      </c>
      <c r="S294" t="s">
        <v>614</v>
      </c>
      <c r="T294">
        <v>1.289935148733321</v>
      </c>
      <c r="U294">
        <v>211.01072075520389</v>
      </c>
      <c r="V294">
        <v>200.19858831104659</v>
      </c>
      <c r="W294">
        <f t="shared" si="12"/>
        <v>0.18081266260000001</v>
      </c>
      <c r="X294">
        <f t="shared" si="13"/>
        <v>0.18134476799440147</v>
      </c>
      <c r="Y294">
        <f t="shared" si="14"/>
        <v>0.68664687942101499</v>
      </c>
      <c r="Z294" s="5">
        <f t="shared" si="15"/>
        <v>68.664687942101494</v>
      </c>
    </row>
    <row r="295" spans="1:26" x14ac:dyDescent="0.2">
      <c r="A295" t="s">
        <v>500</v>
      </c>
      <c r="B295" t="s">
        <v>61</v>
      </c>
      <c r="C295">
        <v>2.7</v>
      </c>
      <c r="D295">
        <v>50</v>
      </c>
      <c r="E295">
        <v>6.733637487804331</v>
      </c>
      <c r="F295">
        <v>6.0245681335785051</v>
      </c>
      <c r="G295">
        <v>1726.657004201777</v>
      </c>
      <c r="H295">
        <v>0</v>
      </c>
      <c r="I295">
        <v>0.9</v>
      </c>
      <c r="J295" t="b">
        <v>1</v>
      </c>
      <c r="K295">
        <v>1E+21</v>
      </c>
      <c r="L295">
        <v>0.3</v>
      </c>
      <c r="M295" t="b">
        <v>1</v>
      </c>
      <c r="N295">
        <v>100000000000</v>
      </c>
      <c r="O295">
        <v>0.36436792514642879</v>
      </c>
      <c r="P295">
        <v>0.19163793829191531</v>
      </c>
      <c r="Q295">
        <v>0.13945306325456189</v>
      </c>
      <c r="R295" t="s">
        <v>615</v>
      </c>
      <c r="S295" t="s">
        <v>616</v>
      </c>
      <c r="T295">
        <v>1.289935148733321</v>
      </c>
      <c r="U295">
        <v>211.03031795755371</v>
      </c>
      <c r="V295">
        <v>200.30142678343191</v>
      </c>
      <c r="W295">
        <f t="shared" si="12"/>
        <v>0.179897951</v>
      </c>
      <c r="X295">
        <f t="shared" si="13"/>
        <v>0.22988832264976655</v>
      </c>
      <c r="Y295">
        <f t="shared" si="14"/>
        <v>0.55482481748336065</v>
      </c>
      <c r="Z295" s="5">
        <f t="shared" si="15"/>
        <v>55.482481748336063</v>
      </c>
    </row>
    <row r="296" spans="1:26" x14ac:dyDescent="0.2">
      <c r="A296" t="s">
        <v>500</v>
      </c>
      <c r="B296" t="s">
        <v>61</v>
      </c>
      <c r="C296">
        <v>2.8</v>
      </c>
      <c r="D296">
        <v>70</v>
      </c>
      <c r="E296">
        <v>6.7390617315229262</v>
      </c>
      <c r="F296">
        <v>6.0200752097335357</v>
      </c>
      <c r="G296">
        <v>1737.166284201774</v>
      </c>
      <c r="H296">
        <v>0</v>
      </c>
      <c r="I296">
        <v>0.9</v>
      </c>
      <c r="J296" t="b">
        <v>1</v>
      </c>
      <c r="K296">
        <v>1E+21</v>
      </c>
      <c r="L296">
        <v>0.3</v>
      </c>
      <c r="M296" t="b">
        <v>1</v>
      </c>
      <c r="N296">
        <v>100000000000</v>
      </c>
      <c r="O296">
        <v>0.36372600095047092</v>
      </c>
      <c r="P296">
        <v>0.19292013624402449</v>
      </c>
      <c r="Q296">
        <v>0.1405905543901658</v>
      </c>
      <c r="R296" t="s">
        <v>617</v>
      </c>
      <c r="S296" t="s">
        <v>618</v>
      </c>
      <c r="T296">
        <v>1.289935148733321</v>
      </c>
      <c r="U296">
        <v>210.99274929707789</v>
      </c>
      <c r="V296">
        <v>200.11003613208561</v>
      </c>
      <c r="W296">
        <f t="shared" si="12"/>
        <v>0.18169453699999999</v>
      </c>
      <c r="X296">
        <f t="shared" si="13"/>
        <v>0.28340879489056303</v>
      </c>
      <c r="Y296">
        <f t="shared" si="14"/>
        <v>0.93783530203488097</v>
      </c>
      <c r="Z296" s="5">
        <f t="shared" si="15"/>
        <v>93.783530203488098</v>
      </c>
    </row>
    <row r="297" spans="1:26" x14ac:dyDescent="0.2">
      <c r="A297" t="s">
        <v>500</v>
      </c>
      <c r="B297" t="s">
        <v>61</v>
      </c>
      <c r="C297">
        <v>2.8</v>
      </c>
      <c r="D297">
        <v>65</v>
      </c>
      <c r="E297">
        <v>6.7374499511182728</v>
      </c>
      <c r="F297">
        <v>6.0221426978900974</v>
      </c>
      <c r="G297">
        <v>1732.3355162017749</v>
      </c>
      <c r="H297">
        <v>0</v>
      </c>
      <c r="I297">
        <v>0.9</v>
      </c>
      <c r="J297" t="b">
        <v>1</v>
      </c>
      <c r="K297">
        <v>1E+21</v>
      </c>
      <c r="L297">
        <v>0.3</v>
      </c>
      <c r="M297" t="b">
        <v>1</v>
      </c>
      <c r="N297">
        <v>100000000000</v>
      </c>
      <c r="O297">
        <v>0.36402309134144822</v>
      </c>
      <c r="P297">
        <v>0.19233921838927709</v>
      </c>
      <c r="Q297">
        <v>0.14007086468442709</v>
      </c>
      <c r="R297" t="s">
        <v>619</v>
      </c>
      <c r="S297" t="s">
        <v>620</v>
      </c>
      <c r="T297">
        <v>1.289935148733321</v>
      </c>
      <c r="U297">
        <v>211.00843936116539</v>
      </c>
      <c r="V297">
        <v>200.19974822138451</v>
      </c>
      <c r="W297">
        <f t="shared" si="12"/>
        <v>0.1808729067</v>
      </c>
      <c r="X297">
        <f t="shared" si="13"/>
        <v>0.18488921642445832</v>
      </c>
      <c r="Y297">
        <f t="shared" si="14"/>
        <v>0.68728215068662635</v>
      </c>
      <c r="Z297" s="5">
        <f t="shared" si="15"/>
        <v>68.728215068662635</v>
      </c>
    </row>
    <row r="298" spans="1:26" x14ac:dyDescent="0.2">
      <c r="A298" t="s">
        <v>500</v>
      </c>
      <c r="B298" t="s">
        <v>61</v>
      </c>
      <c r="C298">
        <v>2.8</v>
      </c>
      <c r="D298">
        <v>60</v>
      </c>
      <c r="E298">
        <v>6.7354408304238262</v>
      </c>
      <c r="F298">
        <v>6.0241851135578592</v>
      </c>
      <c r="G298">
        <v>1727.504748201776</v>
      </c>
      <c r="H298">
        <v>0</v>
      </c>
      <c r="I298">
        <v>0.9</v>
      </c>
      <c r="J298" t="b">
        <v>1</v>
      </c>
      <c r="K298">
        <v>1E+21</v>
      </c>
      <c r="L298">
        <v>0.3</v>
      </c>
      <c r="M298" t="b">
        <v>1</v>
      </c>
      <c r="N298">
        <v>100000000000</v>
      </c>
      <c r="O298">
        <v>0.36432255539568809</v>
      </c>
      <c r="P298">
        <v>0.19175575597101371</v>
      </c>
      <c r="Q298">
        <v>0.13955613022622579</v>
      </c>
      <c r="R298" t="s">
        <v>621</v>
      </c>
      <c r="S298" t="s">
        <v>622</v>
      </c>
      <c r="T298">
        <v>1.289935148733321</v>
      </c>
      <c r="U298">
        <v>211.02366414465229</v>
      </c>
      <c r="V298">
        <v>200.2883243660979</v>
      </c>
      <c r="W298">
        <f t="shared" si="12"/>
        <v>0.18005858850000001</v>
      </c>
      <c r="X298">
        <f t="shared" si="13"/>
        <v>0.21563612186241249</v>
      </c>
      <c r="Y298">
        <f t="shared" si="14"/>
        <v>0.56542652539842686</v>
      </c>
      <c r="Z298" s="5">
        <f t="shared" si="15"/>
        <v>56.542652539842685</v>
      </c>
    </row>
    <row r="299" spans="1:26" x14ac:dyDescent="0.2">
      <c r="A299" t="s">
        <v>500</v>
      </c>
      <c r="B299" t="s">
        <v>61</v>
      </c>
      <c r="C299">
        <v>2.9</v>
      </c>
      <c r="D299">
        <v>70</v>
      </c>
      <c r="E299">
        <v>6.7351183400009207</v>
      </c>
      <c r="F299">
        <v>6.0252102747756613</v>
      </c>
      <c r="G299">
        <v>1724.9625722017749</v>
      </c>
      <c r="H299">
        <v>0</v>
      </c>
      <c r="I299">
        <v>0.9</v>
      </c>
      <c r="J299" t="b">
        <v>1</v>
      </c>
      <c r="K299">
        <v>1E+21</v>
      </c>
      <c r="L299">
        <v>0.3</v>
      </c>
      <c r="M299" t="b">
        <v>1</v>
      </c>
      <c r="N299">
        <v>100000000000</v>
      </c>
      <c r="O299">
        <v>0.36449628228179087</v>
      </c>
      <c r="P299">
        <v>0.19145912279804639</v>
      </c>
      <c r="Q299">
        <v>0.13930930632376359</v>
      </c>
      <c r="R299" t="s">
        <v>623</v>
      </c>
      <c r="S299" t="s">
        <v>624</v>
      </c>
      <c r="T299">
        <v>1.289935148733321</v>
      </c>
      <c r="U299">
        <v>211.02688392025311</v>
      </c>
      <c r="V299">
        <v>200.33838292251539</v>
      </c>
      <c r="W299">
        <f t="shared" si="12"/>
        <v>0.1796627395</v>
      </c>
      <c r="X299">
        <f t="shared" si="13"/>
        <v>0.29629918965062857</v>
      </c>
      <c r="Y299">
        <f t="shared" si="14"/>
        <v>0.56112349512628312</v>
      </c>
      <c r="Z299" s="5">
        <f t="shared" si="15"/>
        <v>56.112349512628313</v>
      </c>
    </row>
    <row r="300" spans="1:26" x14ac:dyDescent="0.2">
      <c r="A300" t="s">
        <v>500</v>
      </c>
      <c r="B300" t="s">
        <v>61</v>
      </c>
      <c r="C300">
        <v>2.7</v>
      </c>
      <c r="D300">
        <v>55</v>
      </c>
      <c r="E300">
        <v>6.8737869060262167</v>
      </c>
      <c r="F300">
        <v>6.1657845662921424</v>
      </c>
      <c r="G300">
        <v>1697.5885722017799</v>
      </c>
      <c r="H300">
        <v>0</v>
      </c>
      <c r="I300">
        <v>0.8</v>
      </c>
      <c r="J300" t="b">
        <v>1</v>
      </c>
      <c r="K300">
        <v>1E+21</v>
      </c>
      <c r="L300">
        <v>0.3</v>
      </c>
      <c r="M300" t="b">
        <v>1</v>
      </c>
      <c r="N300">
        <v>100000000000</v>
      </c>
      <c r="O300">
        <v>0.3637248623910404</v>
      </c>
      <c r="P300">
        <v>0.1897368759487989</v>
      </c>
      <c r="Q300">
        <v>0.1349965789259058</v>
      </c>
      <c r="R300" t="s">
        <v>625</v>
      </c>
      <c r="S300" t="s">
        <v>626</v>
      </c>
      <c r="T300">
        <v>1.289935148733321</v>
      </c>
      <c r="U300">
        <v>210.42302105021341</v>
      </c>
      <c r="V300">
        <v>200.3006026448104</v>
      </c>
      <c r="W300">
        <f t="shared" si="12"/>
        <v>0.17336211739999999</v>
      </c>
      <c r="X300">
        <f t="shared" si="13"/>
        <v>5.415936375210139E-2</v>
      </c>
      <c r="Y300">
        <f t="shared" si="14"/>
        <v>0.32127670608923509</v>
      </c>
      <c r="Z300" s="5">
        <f t="shared" si="15"/>
        <v>32.127670608923509</v>
      </c>
    </row>
    <row r="301" spans="1:26" hidden="1" x14ac:dyDescent="0.2">
      <c r="A301" t="s">
        <v>500</v>
      </c>
      <c r="B301" t="s">
        <v>61</v>
      </c>
      <c r="C301">
        <v>2.7</v>
      </c>
      <c r="D301">
        <v>55</v>
      </c>
      <c r="E301">
        <v>6.8737869060262167</v>
      </c>
      <c r="F301">
        <v>6.1657845662921424</v>
      </c>
      <c r="G301">
        <v>1697.5885722017799</v>
      </c>
      <c r="H301">
        <v>0</v>
      </c>
      <c r="I301">
        <v>0.8</v>
      </c>
      <c r="J301" t="b">
        <v>1</v>
      </c>
      <c r="K301">
        <v>1E+20</v>
      </c>
      <c r="L301">
        <v>0.3</v>
      </c>
      <c r="M301" t="b">
        <v>1</v>
      </c>
      <c r="N301">
        <v>100000000000</v>
      </c>
      <c r="O301">
        <v>0.3637248623910404</v>
      </c>
      <c r="P301">
        <v>0.1897368759487989</v>
      </c>
      <c r="Q301">
        <v>0.1349965789259058</v>
      </c>
      <c r="R301" t="s">
        <v>627</v>
      </c>
      <c r="S301" t="s">
        <v>628</v>
      </c>
      <c r="T301">
        <v>1.289935148733321</v>
      </c>
      <c r="U301">
        <v>214.47307361075971</v>
      </c>
      <c r="V301">
        <v>200.3006026448104</v>
      </c>
    </row>
    <row r="302" spans="1:26" x14ac:dyDescent="0.2">
      <c r="A302" t="s">
        <v>500</v>
      </c>
      <c r="B302" t="s">
        <v>61</v>
      </c>
      <c r="C302">
        <v>2.7</v>
      </c>
      <c r="D302">
        <v>50</v>
      </c>
      <c r="E302">
        <v>6.8706319959301956</v>
      </c>
      <c r="F302">
        <v>6.1679638826483218</v>
      </c>
      <c r="G302">
        <v>1692.0798202017811</v>
      </c>
      <c r="H302">
        <v>0</v>
      </c>
      <c r="I302">
        <v>0.8</v>
      </c>
      <c r="J302" t="b">
        <v>1</v>
      </c>
      <c r="K302">
        <v>1E+21</v>
      </c>
      <c r="L302">
        <v>0.3</v>
      </c>
      <c r="M302" t="b">
        <v>1</v>
      </c>
      <c r="N302">
        <v>100000000000</v>
      </c>
      <c r="O302">
        <v>0.36408642665187102</v>
      </c>
      <c r="P302">
        <v>0.1890679498458844</v>
      </c>
      <c r="Q302">
        <v>0.13446229196507911</v>
      </c>
      <c r="R302" t="s">
        <v>629</v>
      </c>
      <c r="S302" t="s">
        <v>630</v>
      </c>
      <c r="T302">
        <v>1.289935148733321</v>
      </c>
      <c r="U302">
        <v>210.4448784744643</v>
      </c>
      <c r="V302">
        <v>200.39892054414901</v>
      </c>
      <c r="W302">
        <f>VALUE(","&amp;MID(R302,4,10))</f>
        <v>0.1725098048</v>
      </c>
      <c r="X302">
        <f>((O302-0.364)/0.0012)^2+((W302-0.174)/0.016)^2</f>
        <v>1.3861736741642785E-2</v>
      </c>
      <c r="Y302">
        <f>((O302-O$8)/0.0012)^2+((W302-W$8)/0.016)^2</f>
        <v>0.10282123957651904</v>
      </c>
      <c r="Z302" s="5">
        <f>Y302*100</f>
        <v>10.282123957651903</v>
      </c>
    </row>
    <row r="303" spans="1:26" hidden="1" x14ac:dyDescent="0.2">
      <c r="A303" t="s">
        <v>500</v>
      </c>
      <c r="B303" t="s">
        <v>61</v>
      </c>
      <c r="C303">
        <v>2.7</v>
      </c>
      <c r="D303">
        <v>50</v>
      </c>
      <c r="E303">
        <v>6.8706319959301956</v>
      </c>
      <c r="F303">
        <v>6.1679638826483218</v>
      </c>
      <c r="G303">
        <v>1692.0798202017811</v>
      </c>
      <c r="H303">
        <v>0</v>
      </c>
      <c r="I303">
        <v>0.8</v>
      </c>
      <c r="J303" t="b">
        <v>1</v>
      </c>
      <c r="K303">
        <v>1E+20</v>
      </c>
      <c r="L303">
        <v>0.3</v>
      </c>
      <c r="M303" t="b">
        <v>1</v>
      </c>
      <c r="N303">
        <v>100000000000</v>
      </c>
      <c r="O303">
        <v>0.36408642665187102</v>
      </c>
      <c r="P303">
        <v>0.1890679498458844</v>
      </c>
      <c r="Q303">
        <v>0.13446229196507911</v>
      </c>
      <c r="R303" t="s">
        <v>631</v>
      </c>
      <c r="S303" t="s">
        <v>632</v>
      </c>
      <c r="T303">
        <v>1.289935148733321</v>
      </c>
      <c r="U303">
        <v>214.4725584003684</v>
      </c>
      <c r="V303">
        <v>200.39892054414901</v>
      </c>
    </row>
    <row r="304" spans="1:26" x14ac:dyDescent="0.2">
      <c r="A304" t="s">
        <v>500</v>
      </c>
      <c r="B304" t="s">
        <v>61</v>
      </c>
      <c r="C304">
        <v>2.7</v>
      </c>
      <c r="D304">
        <v>45</v>
      </c>
      <c r="E304">
        <v>6.8668660129403696</v>
      </c>
      <c r="F304">
        <v>6.1701153842076257</v>
      </c>
      <c r="G304">
        <v>1686.5710682017821</v>
      </c>
      <c r="H304">
        <v>0</v>
      </c>
      <c r="I304">
        <v>0.8</v>
      </c>
      <c r="J304" t="b">
        <v>1</v>
      </c>
      <c r="K304">
        <v>1E+21</v>
      </c>
      <c r="L304">
        <v>0.3</v>
      </c>
      <c r="M304" t="b">
        <v>1</v>
      </c>
      <c r="N304">
        <v>100000000000</v>
      </c>
      <c r="O304">
        <v>0.36445115083097968</v>
      </c>
      <c r="P304">
        <v>0.18839455153197679</v>
      </c>
      <c r="Q304">
        <v>0.13393439297658771</v>
      </c>
      <c r="R304" t="s">
        <v>633</v>
      </c>
      <c r="S304" t="s">
        <v>634</v>
      </c>
      <c r="T304">
        <v>1.289935148733321</v>
      </c>
      <c r="U304">
        <v>210.4661649239136</v>
      </c>
      <c r="V304">
        <v>200.49586485319909</v>
      </c>
      <c r="W304">
        <f>VALUE(","&amp;MID(R304,4,10))</f>
        <v>0.17166673360000001</v>
      </c>
      <c r="X304">
        <f>((O304-0.364)/0.0012)^2+((W304-0.174)/0.016)^2</f>
        <v>0.16261133008254192</v>
      </c>
      <c r="Y304">
        <f>((O304-O$8)/0.0012)^2+((W304-W$8)/0.016)^2</f>
        <v>7.2632642545261139E-2</v>
      </c>
      <c r="Z304" s="5">
        <f>Y304*100</f>
        <v>7.2632642545261135</v>
      </c>
    </row>
    <row r="305" spans="1:26" hidden="1" x14ac:dyDescent="0.2">
      <c r="A305" t="s">
        <v>500</v>
      </c>
      <c r="B305" t="s">
        <v>61</v>
      </c>
      <c r="C305">
        <v>2.7</v>
      </c>
      <c r="D305">
        <v>45</v>
      </c>
      <c r="E305">
        <v>6.8668660129403696</v>
      </c>
      <c r="F305">
        <v>6.1701153842076257</v>
      </c>
      <c r="G305">
        <v>1686.5710682017821</v>
      </c>
      <c r="H305">
        <v>0</v>
      </c>
      <c r="I305">
        <v>0.8</v>
      </c>
      <c r="J305" t="b">
        <v>1</v>
      </c>
      <c r="K305">
        <v>1E+20</v>
      </c>
      <c r="L305">
        <v>0.3</v>
      </c>
      <c r="M305" t="b">
        <v>1</v>
      </c>
      <c r="N305">
        <v>100000000000</v>
      </c>
      <c r="O305">
        <v>0.36445115083097968</v>
      </c>
      <c r="P305">
        <v>0.18839455153197679</v>
      </c>
      <c r="Q305">
        <v>0.13393439297658771</v>
      </c>
      <c r="R305" t="s">
        <v>635</v>
      </c>
      <c r="S305" t="s">
        <v>636</v>
      </c>
      <c r="T305">
        <v>1.289935148733321</v>
      </c>
      <c r="U305">
        <v>214.4717760191381</v>
      </c>
      <c r="V305">
        <v>200.49586485319909</v>
      </c>
    </row>
    <row r="306" spans="1:26" hidden="1" x14ac:dyDescent="0.2">
      <c r="A306" t="s">
        <v>500</v>
      </c>
      <c r="B306" t="s">
        <v>61</v>
      </c>
      <c r="C306">
        <v>2.7</v>
      </c>
      <c r="D306">
        <v>45</v>
      </c>
      <c r="E306">
        <v>6.8668660129403696</v>
      </c>
      <c r="F306">
        <v>6.1701153842076257</v>
      </c>
      <c r="G306">
        <v>1686.5710682017821</v>
      </c>
      <c r="H306">
        <v>0</v>
      </c>
      <c r="I306">
        <v>0.8</v>
      </c>
      <c r="J306" t="b">
        <v>1</v>
      </c>
      <c r="K306">
        <v>1E+19</v>
      </c>
      <c r="L306">
        <v>0.3</v>
      </c>
      <c r="M306" t="b">
        <v>1</v>
      </c>
      <c r="N306">
        <v>100000000000</v>
      </c>
      <c r="O306">
        <v>0.36445115083097968</v>
      </c>
      <c r="P306">
        <v>0.18839455153197679</v>
      </c>
      <c r="Q306">
        <v>0.13393439297658771</v>
      </c>
      <c r="R306" t="s">
        <v>637</v>
      </c>
      <c r="S306" t="s">
        <v>638</v>
      </c>
      <c r="T306">
        <v>1.289935148733321</v>
      </c>
      <c r="U306">
        <v>227.95538912685851</v>
      </c>
      <c r="V306">
        <v>200.49586485319909</v>
      </c>
    </row>
    <row r="307" spans="1:26" x14ac:dyDescent="0.2">
      <c r="A307" t="s">
        <v>500</v>
      </c>
      <c r="B307" t="s">
        <v>61</v>
      </c>
      <c r="C307">
        <v>2.8</v>
      </c>
      <c r="D307">
        <v>70</v>
      </c>
      <c r="E307">
        <v>6.8718397109298994</v>
      </c>
      <c r="F307">
        <v>6.1636791602968426</v>
      </c>
      <c r="G307">
        <v>1702.5891002017779</v>
      </c>
      <c r="H307">
        <v>0</v>
      </c>
      <c r="I307">
        <v>0.8</v>
      </c>
      <c r="J307" t="b">
        <v>1</v>
      </c>
      <c r="K307">
        <v>1E+21</v>
      </c>
      <c r="L307">
        <v>0.3</v>
      </c>
      <c r="M307" t="b">
        <v>1</v>
      </c>
      <c r="N307">
        <v>100000000000</v>
      </c>
      <c r="O307">
        <v>0.36344108706059408</v>
      </c>
      <c r="P307">
        <v>0.19030436777447829</v>
      </c>
      <c r="Q307">
        <v>0.13551814313812069</v>
      </c>
      <c r="R307" t="s">
        <v>639</v>
      </c>
      <c r="S307" t="s">
        <v>640</v>
      </c>
      <c r="T307">
        <v>1.289935148733321</v>
      </c>
      <c r="U307">
        <v>210.40316206925539</v>
      </c>
      <c r="V307">
        <v>200.21581666668089</v>
      </c>
      <c r="W307">
        <f>VALUE(","&amp;MID(R307,4,10))</f>
        <v>0.17418421149999999</v>
      </c>
      <c r="X307">
        <f>((O307-0.364)/0.0012)^2+((W307-0.174)/0.016)^2</f>
        <v>0.21706566103609176</v>
      </c>
      <c r="Y307">
        <f>((O307-O$8)/0.0012)^2+((W307-W$8)/0.016)^2</f>
        <v>0.63113787374314056</v>
      </c>
      <c r="Z307" s="5">
        <f>Y307*100</f>
        <v>63.113787374314057</v>
      </c>
    </row>
    <row r="308" spans="1:26" hidden="1" x14ac:dyDescent="0.2">
      <c r="A308" t="s">
        <v>500</v>
      </c>
      <c r="B308" t="s">
        <v>61</v>
      </c>
      <c r="C308">
        <v>2.8</v>
      </c>
      <c r="D308">
        <v>70</v>
      </c>
      <c r="E308">
        <v>6.8718397109298994</v>
      </c>
      <c r="F308">
        <v>6.1636791602968426</v>
      </c>
      <c r="G308">
        <v>1702.5891002017779</v>
      </c>
      <c r="H308">
        <v>0</v>
      </c>
      <c r="I308">
        <v>0.8</v>
      </c>
      <c r="J308" t="b">
        <v>1</v>
      </c>
      <c r="K308">
        <v>1E+20</v>
      </c>
      <c r="L308">
        <v>0.3</v>
      </c>
      <c r="M308" t="b">
        <v>1</v>
      </c>
      <c r="N308">
        <v>100000000000</v>
      </c>
      <c r="O308">
        <v>0.36344108706059408</v>
      </c>
      <c r="P308">
        <v>0.19030436777447829</v>
      </c>
      <c r="Q308">
        <v>0.13551814313812069</v>
      </c>
      <c r="R308" t="s">
        <v>641</v>
      </c>
      <c r="S308" t="s">
        <v>642</v>
      </c>
      <c r="T308">
        <v>1.289935148733321</v>
      </c>
      <c r="U308">
        <v>214.4632079953179</v>
      </c>
      <c r="V308">
        <v>200.21581666668089</v>
      </c>
    </row>
    <row r="309" spans="1:26" x14ac:dyDescent="0.2">
      <c r="A309" t="s">
        <v>500</v>
      </c>
      <c r="B309" t="s">
        <v>61</v>
      </c>
      <c r="C309">
        <v>2.8</v>
      </c>
      <c r="D309">
        <v>65</v>
      </c>
      <c r="E309">
        <v>6.872190465440644</v>
      </c>
      <c r="F309">
        <v>6.1656499230287478</v>
      </c>
      <c r="G309">
        <v>1697.758332201779</v>
      </c>
      <c r="H309">
        <v>0</v>
      </c>
      <c r="I309">
        <v>0.8</v>
      </c>
      <c r="J309" t="b">
        <v>1</v>
      </c>
      <c r="K309">
        <v>1E+21</v>
      </c>
      <c r="L309">
        <v>0.3</v>
      </c>
      <c r="M309" t="b">
        <v>1</v>
      </c>
      <c r="N309">
        <v>100000000000</v>
      </c>
      <c r="O309">
        <v>0.3637397351844896</v>
      </c>
      <c r="P309">
        <v>0.18974473763644409</v>
      </c>
      <c r="Q309">
        <v>0.13503561383380289</v>
      </c>
      <c r="R309" t="s">
        <v>643</v>
      </c>
      <c r="S309" t="s">
        <v>644</v>
      </c>
      <c r="T309">
        <v>1.289935148733321</v>
      </c>
      <c r="U309">
        <v>210.42097642879449</v>
      </c>
      <c r="V309">
        <v>200.3016072950474</v>
      </c>
      <c r="W309">
        <f>VALUE(","&amp;MID(R309,4,10))</f>
        <v>0.1734183436</v>
      </c>
      <c r="X309">
        <f>((O309-0.364)/0.0012)^2+((W309-0.174)/0.016)^2</f>
        <v>4.8361699747049292E-2</v>
      </c>
      <c r="Y309">
        <f>((O309-O$8)/0.0012)^2+((W309-W$8)/0.016)^2</f>
        <v>0.31239853312608523</v>
      </c>
      <c r="Z309" s="5">
        <f>Y309*100</f>
        <v>31.239853312608524</v>
      </c>
    </row>
    <row r="310" spans="1:26" hidden="1" x14ac:dyDescent="0.2">
      <c r="A310" t="s">
        <v>500</v>
      </c>
      <c r="B310" t="s">
        <v>61</v>
      </c>
      <c r="C310">
        <v>2.8</v>
      </c>
      <c r="D310">
        <v>65</v>
      </c>
      <c r="E310">
        <v>6.872190465440644</v>
      </c>
      <c r="F310">
        <v>6.1656499230287478</v>
      </c>
      <c r="G310">
        <v>1697.758332201779</v>
      </c>
      <c r="H310">
        <v>0</v>
      </c>
      <c r="I310">
        <v>0.8</v>
      </c>
      <c r="J310" t="b">
        <v>1</v>
      </c>
      <c r="K310">
        <v>1E+20</v>
      </c>
      <c r="L310">
        <v>0.3</v>
      </c>
      <c r="M310" t="b">
        <v>1</v>
      </c>
      <c r="N310">
        <v>100000000000</v>
      </c>
      <c r="O310">
        <v>0.3637397351844896</v>
      </c>
      <c r="P310">
        <v>0.18974473763644409</v>
      </c>
      <c r="Q310">
        <v>0.13503561383380289</v>
      </c>
      <c r="R310" t="s">
        <v>645</v>
      </c>
      <c r="S310" t="s">
        <v>646</v>
      </c>
      <c r="T310">
        <v>1.289935148733321</v>
      </c>
      <c r="U310">
        <v>214.46157893473409</v>
      </c>
      <c r="V310">
        <v>200.3016072950474</v>
      </c>
    </row>
    <row r="311" spans="1:26" x14ac:dyDescent="0.2">
      <c r="A311" t="s">
        <v>500</v>
      </c>
      <c r="B311" t="s">
        <v>61</v>
      </c>
      <c r="C311">
        <v>2.8</v>
      </c>
      <c r="D311">
        <v>60</v>
      </c>
      <c r="E311">
        <v>6.8720934029499912</v>
      </c>
      <c r="F311">
        <v>6.1676017744857701</v>
      </c>
      <c r="G311">
        <v>1692.9275642017799</v>
      </c>
      <c r="H311">
        <v>0</v>
      </c>
      <c r="I311">
        <v>0.8</v>
      </c>
      <c r="J311" t="b">
        <v>1</v>
      </c>
      <c r="K311">
        <v>1E+21</v>
      </c>
      <c r="L311">
        <v>0.3</v>
      </c>
      <c r="M311" t="b">
        <v>1</v>
      </c>
      <c r="N311">
        <v>100000000000</v>
      </c>
      <c r="O311">
        <v>0.36404079311075238</v>
      </c>
      <c r="P311">
        <v>0.18918229543121939</v>
      </c>
      <c r="Q311">
        <v>0.13455779826925651</v>
      </c>
      <c r="R311" t="s">
        <v>647</v>
      </c>
      <c r="S311" t="s">
        <v>648</v>
      </c>
      <c r="T311">
        <v>1.289935148733321</v>
      </c>
      <c r="U311">
        <v>210.43827320989311</v>
      </c>
      <c r="V311">
        <v>200.38628579559949</v>
      </c>
      <c r="W311">
        <f>VALUE(","&amp;MID(R311,4,10))</f>
        <v>0.172659339</v>
      </c>
      <c r="X311">
        <f>((O311-0.364)/0.0012)^2+((W311-0.174)/0.016)^2</f>
        <v>8.1765936927342582E-3</v>
      </c>
      <c r="Y311">
        <f>((O311-O$8)/0.0012)^2+((W311-W$8)/0.016)^2</f>
        <v>0.12157436224781124</v>
      </c>
      <c r="Z311" s="5">
        <f>Y311*100</f>
        <v>12.157436224781124</v>
      </c>
    </row>
    <row r="312" spans="1:26" hidden="1" x14ac:dyDescent="0.2">
      <c r="A312" t="s">
        <v>500</v>
      </c>
      <c r="B312" t="s">
        <v>61</v>
      </c>
      <c r="C312">
        <v>2.8</v>
      </c>
      <c r="D312">
        <v>60</v>
      </c>
      <c r="E312">
        <v>6.8720934029499912</v>
      </c>
      <c r="F312">
        <v>6.1676017744857701</v>
      </c>
      <c r="G312">
        <v>1692.9275642017799</v>
      </c>
      <c r="H312">
        <v>0</v>
      </c>
      <c r="I312">
        <v>0.8</v>
      </c>
      <c r="J312" t="b">
        <v>1</v>
      </c>
      <c r="K312">
        <v>1E+20</v>
      </c>
      <c r="L312">
        <v>0.3</v>
      </c>
      <c r="M312" t="b">
        <v>1</v>
      </c>
      <c r="N312">
        <v>100000000000</v>
      </c>
      <c r="O312">
        <v>0.36404079311075238</v>
      </c>
      <c r="P312">
        <v>0.18918229543121939</v>
      </c>
      <c r="Q312">
        <v>0.13455779826925651</v>
      </c>
      <c r="R312" t="s">
        <v>649</v>
      </c>
      <c r="S312" t="s">
        <v>650</v>
      </c>
      <c r="T312">
        <v>1.289935148733321</v>
      </c>
      <c r="U312">
        <v>214.45964888462859</v>
      </c>
      <c r="V312">
        <v>200.38628579559949</v>
      </c>
    </row>
    <row r="313" spans="1:26" s="4" customFormat="1" x14ac:dyDescent="0.2">
      <c r="A313" s="4" t="s">
        <v>500</v>
      </c>
      <c r="B313" s="4" t="s">
        <v>61</v>
      </c>
      <c r="C313" s="4">
        <v>2.8</v>
      </c>
      <c r="D313" s="4">
        <v>55</v>
      </c>
      <c r="E313" s="4">
        <v>6.8660048398822786</v>
      </c>
      <c r="F313" s="4">
        <v>6.1693328134255179</v>
      </c>
      <c r="G313" s="4">
        <v>1688.435788201781</v>
      </c>
      <c r="H313" s="4">
        <v>0</v>
      </c>
      <c r="I313" s="4">
        <v>0.8</v>
      </c>
      <c r="J313" s="4" t="b">
        <v>1</v>
      </c>
      <c r="K313" s="4">
        <v>1E+21</v>
      </c>
      <c r="L313" s="4">
        <v>0.3</v>
      </c>
      <c r="M313" s="4" t="b">
        <v>1</v>
      </c>
      <c r="N313" s="4">
        <v>100000000000</v>
      </c>
      <c r="O313" s="4">
        <v>0.36435100920464453</v>
      </c>
      <c r="P313" s="4">
        <v>0.18860453356946799</v>
      </c>
      <c r="Q313" s="4">
        <v>0.1341322694413718</v>
      </c>
      <c r="R313" s="4" t="s">
        <v>651</v>
      </c>
      <c r="S313" s="4" t="s">
        <v>652</v>
      </c>
      <c r="T313" s="4">
        <v>1.289935148733321</v>
      </c>
      <c r="U313" s="4">
        <v>210.45828889629229</v>
      </c>
      <c r="V313" s="4">
        <v>200.46680215750521</v>
      </c>
      <c r="W313" s="4">
        <f>VALUE(","&amp;MID(R313,4,10))</f>
        <v>0.1719774868</v>
      </c>
      <c r="X313" s="4">
        <f>((O313-0.364)/0.0012)^2+((W313-0.174)/0.016)^2</f>
        <v>0.10153948593310433</v>
      </c>
      <c r="Y313" s="4">
        <f>((O313-O$8)/0.0012)^2+((W313-W$8)/0.016)^2</f>
        <v>6.4380438244792199E-2</v>
      </c>
      <c r="Z313" s="6">
        <f>Y313*100</f>
        <v>6.4380438244792195</v>
      </c>
    </row>
    <row r="314" spans="1:26" hidden="1" x14ac:dyDescent="0.2">
      <c r="A314" t="s">
        <v>500</v>
      </c>
      <c r="B314" t="s">
        <v>61</v>
      </c>
      <c r="C314">
        <v>2.8</v>
      </c>
      <c r="D314">
        <v>55</v>
      </c>
      <c r="E314">
        <v>6.8660048398822786</v>
      </c>
      <c r="F314">
        <v>6.1693328134255179</v>
      </c>
      <c r="G314">
        <v>1688.435788201781</v>
      </c>
      <c r="H314">
        <v>0</v>
      </c>
      <c r="I314">
        <v>0.8</v>
      </c>
      <c r="J314" t="b">
        <v>1</v>
      </c>
      <c r="K314">
        <v>1E+20</v>
      </c>
      <c r="L314">
        <v>0.3</v>
      </c>
      <c r="M314" t="b">
        <v>1</v>
      </c>
      <c r="N314">
        <v>100000000000</v>
      </c>
      <c r="O314">
        <v>0.36435100920464453</v>
      </c>
      <c r="P314">
        <v>0.18860453356946799</v>
      </c>
      <c r="Q314">
        <v>0.1341322694413718</v>
      </c>
      <c r="R314" t="s">
        <v>653</v>
      </c>
      <c r="S314" t="s">
        <v>654</v>
      </c>
      <c r="T314">
        <v>1.289935148733321</v>
      </c>
      <c r="U314">
        <v>214.4631076339742</v>
      </c>
      <c r="V314">
        <v>200.46680215750521</v>
      </c>
    </row>
    <row r="315" spans="1:26" x14ac:dyDescent="0.2">
      <c r="A315" t="s">
        <v>500</v>
      </c>
      <c r="B315" t="s">
        <v>61</v>
      </c>
      <c r="C315">
        <v>2.9</v>
      </c>
      <c r="D315">
        <v>70</v>
      </c>
      <c r="E315">
        <v>6.86720356506616</v>
      </c>
      <c r="F315">
        <v>6.1683799372128281</v>
      </c>
      <c r="G315">
        <v>1690.724380201779</v>
      </c>
      <c r="H315">
        <v>0</v>
      </c>
      <c r="I315">
        <v>0.8</v>
      </c>
      <c r="J315" t="b">
        <v>1</v>
      </c>
      <c r="K315">
        <v>1E+21</v>
      </c>
      <c r="L315">
        <v>0.3</v>
      </c>
      <c r="M315" t="b">
        <v>1</v>
      </c>
      <c r="N315">
        <v>100000000000</v>
      </c>
      <c r="O315">
        <v>0.36422203620470051</v>
      </c>
      <c r="P315">
        <v>0.1888843735113945</v>
      </c>
      <c r="Q315">
        <v>0.1343761033115998</v>
      </c>
      <c r="R315" t="s">
        <v>655</v>
      </c>
      <c r="S315" t="s">
        <v>656</v>
      </c>
      <c r="T315">
        <v>1.289935148733321</v>
      </c>
      <c r="U315">
        <v>210.4461755481064</v>
      </c>
      <c r="V315">
        <v>200.4308447235407</v>
      </c>
      <c r="W315">
        <f>VALUE(","&amp;MID(R315,4,10))</f>
        <v>0.1723603209</v>
      </c>
      <c r="X315">
        <f>((O315-0.364)/0.0012)^2+((W315-0.174)/0.016)^2</f>
        <v>4.473830289725933E-2</v>
      </c>
      <c r="Y315">
        <f>((O315-O$8)/0.0012)^2+((W315-W$8)/0.016)^2</f>
        <v>7.4796898542406495E-2</v>
      </c>
      <c r="Z315" s="5">
        <f>Y315*100</f>
        <v>7.4796898542406494</v>
      </c>
    </row>
    <row r="316" spans="1:26" hidden="1" x14ac:dyDescent="0.2">
      <c r="A316" t="s">
        <v>500</v>
      </c>
      <c r="B316" t="s">
        <v>61</v>
      </c>
      <c r="C316">
        <v>2.9</v>
      </c>
      <c r="D316">
        <v>70</v>
      </c>
      <c r="E316">
        <v>6.86720356506616</v>
      </c>
      <c r="F316">
        <v>6.1683799372128281</v>
      </c>
      <c r="G316">
        <v>1690.724380201779</v>
      </c>
      <c r="H316">
        <v>0</v>
      </c>
      <c r="I316">
        <v>0.8</v>
      </c>
      <c r="J316" t="b">
        <v>1</v>
      </c>
      <c r="K316">
        <v>1E+20</v>
      </c>
      <c r="L316">
        <v>0.3</v>
      </c>
      <c r="M316" t="b">
        <v>1</v>
      </c>
      <c r="N316">
        <v>100000000000</v>
      </c>
      <c r="O316">
        <v>0.36422203620470051</v>
      </c>
      <c r="P316">
        <v>0.1888843735113945</v>
      </c>
      <c r="Q316">
        <v>0.1343761033115998</v>
      </c>
      <c r="R316" t="s">
        <v>657</v>
      </c>
      <c r="S316" t="s">
        <v>658</v>
      </c>
      <c r="T316">
        <v>1.289935148733321</v>
      </c>
      <c r="U316">
        <v>214.44663608259791</v>
      </c>
      <c r="V316">
        <v>200.4308447235407</v>
      </c>
    </row>
    <row r="317" spans="1:26" x14ac:dyDescent="0.2">
      <c r="A317" t="s">
        <v>500</v>
      </c>
      <c r="B317" t="s">
        <v>61</v>
      </c>
      <c r="C317">
        <v>2.9</v>
      </c>
      <c r="D317">
        <v>65</v>
      </c>
      <c r="E317">
        <v>6.8694757437214413</v>
      </c>
      <c r="F317">
        <v>6.1700691831145722</v>
      </c>
      <c r="G317">
        <v>1686.57159620178</v>
      </c>
      <c r="H317">
        <v>0</v>
      </c>
      <c r="I317">
        <v>0.8</v>
      </c>
      <c r="J317" t="b">
        <v>1</v>
      </c>
      <c r="K317">
        <v>1E+21</v>
      </c>
      <c r="L317">
        <v>0.3</v>
      </c>
      <c r="M317" t="b">
        <v>1</v>
      </c>
      <c r="N317">
        <v>100000000000</v>
      </c>
      <c r="O317">
        <v>0.36446681602974002</v>
      </c>
      <c r="P317">
        <v>0.1884236326405174</v>
      </c>
      <c r="Q317">
        <v>0.1339616289593144</v>
      </c>
      <c r="R317" t="s">
        <v>659</v>
      </c>
      <c r="S317" t="s">
        <v>660</v>
      </c>
      <c r="T317">
        <v>1.289935148733321</v>
      </c>
      <c r="U317">
        <v>210.45846203988529</v>
      </c>
      <c r="V317">
        <v>200.50059238246871</v>
      </c>
      <c r="W317">
        <f>VALUE(","&amp;MID(R317,4,10))</f>
        <v>0.17170448690000001</v>
      </c>
      <c r="X317">
        <f>((O317-0.364)/0.0012)^2+((W317-0.174)/0.016)^2</f>
        <v>0.17191490995053266</v>
      </c>
      <c r="Y317">
        <f>((O317-O$8)/0.0012)^2+((W317-W$8)/0.016)^2</f>
        <v>7.7692557655958727E-2</v>
      </c>
      <c r="Z317" s="5">
        <f>Y317*100</f>
        <v>7.7692557655958723</v>
      </c>
    </row>
    <row r="318" spans="1:26" hidden="1" x14ac:dyDescent="0.2">
      <c r="A318" t="s">
        <v>500</v>
      </c>
      <c r="B318" t="s">
        <v>61</v>
      </c>
      <c r="C318">
        <v>2.9</v>
      </c>
      <c r="D318">
        <v>65</v>
      </c>
      <c r="E318">
        <v>6.8694757437214413</v>
      </c>
      <c r="F318">
        <v>6.1700691831145722</v>
      </c>
      <c r="G318">
        <v>1686.57159620178</v>
      </c>
      <c r="H318">
        <v>0</v>
      </c>
      <c r="I318">
        <v>0.8</v>
      </c>
      <c r="J318" t="b">
        <v>1</v>
      </c>
      <c r="K318">
        <v>1E+20</v>
      </c>
      <c r="L318">
        <v>0.3</v>
      </c>
      <c r="M318" t="b">
        <v>1</v>
      </c>
      <c r="N318">
        <v>100000000000</v>
      </c>
      <c r="O318">
        <v>0.36446681602974002</v>
      </c>
      <c r="P318">
        <v>0.1884236326405174</v>
      </c>
      <c r="Q318">
        <v>0.1339616289593144</v>
      </c>
      <c r="R318" t="s">
        <v>661</v>
      </c>
      <c r="S318" t="s">
        <v>662</v>
      </c>
      <c r="T318">
        <v>1.289935148733321</v>
      </c>
      <c r="U318">
        <v>214.4431399371262</v>
      </c>
      <c r="V318">
        <v>200.50059238246871</v>
      </c>
    </row>
    <row r="319" spans="1:26" hidden="1" x14ac:dyDescent="0.2">
      <c r="A319" t="s">
        <v>500</v>
      </c>
      <c r="B319" t="s">
        <v>61</v>
      </c>
      <c r="C319">
        <v>2.9</v>
      </c>
      <c r="D319">
        <v>65</v>
      </c>
      <c r="E319">
        <v>6.8694757437214413</v>
      </c>
      <c r="F319">
        <v>6.1700691831145722</v>
      </c>
      <c r="G319">
        <v>1686.57159620178</v>
      </c>
      <c r="H319">
        <v>0</v>
      </c>
      <c r="I319">
        <v>0.8</v>
      </c>
      <c r="J319" t="b">
        <v>1</v>
      </c>
      <c r="K319">
        <v>1E+19</v>
      </c>
      <c r="L319">
        <v>0.3</v>
      </c>
      <c r="M319" t="b">
        <v>1</v>
      </c>
      <c r="N319">
        <v>100000000000</v>
      </c>
      <c r="O319">
        <v>0.36446681602974002</v>
      </c>
      <c r="P319">
        <v>0.1884236326405174</v>
      </c>
      <c r="Q319">
        <v>0.1339616289593144</v>
      </c>
      <c r="R319" t="s">
        <v>663</v>
      </c>
      <c r="S319" t="s">
        <v>664</v>
      </c>
      <c r="T319">
        <v>1.289935148733321</v>
      </c>
      <c r="U319">
        <v>227.8110514967473</v>
      </c>
      <c r="V319">
        <v>200.50059238246871</v>
      </c>
    </row>
    <row r="320" spans="1:26" x14ac:dyDescent="0.2">
      <c r="A320" t="s">
        <v>500</v>
      </c>
      <c r="B320" t="s">
        <v>61</v>
      </c>
      <c r="C320">
        <v>2.7</v>
      </c>
      <c r="D320">
        <v>55</v>
      </c>
      <c r="E320">
        <v>7.0200536834151253</v>
      </c>
      <c r="F320">
        <v>6.3248601161261986</v>
      </c>
      <c r="G320">
        <v>1662.3334042017841</v>
      </c>
      <c r="H320">
        <v>0</v>
      </c>
      <c r="I320">
        <v>0.7</v>
      </c>
      <c r="J320" t="b">
        <v>1</v>
      </c>
      <c r="K320">
        <v>1E+21</v>
      </c>
      <c r="L320">
        <v>0.3</v>
      </c>
      <c r="M320" t="b">
        <v>1</v>
      </c>
      <c r="N320">
        <v>100000000000</v>
      </c>
      <c r="O320">
        <v>0.36344325328803628</v>
      </c>
      <c r="P320">
        <v>0.18685251760163521</v>
      </c>
      <c r="Q320">
        <v>0.13016997076544179</v>
      </c>
      <c r="R320" t="s">
        <v>665</v>
      </c>
      <c r="S320" t="s">
        <v>666</v>
      </c>
      <c r="T320">
        <v>1.289935148733321</v>
      </c>
      <c r="U320">
        <v>209.8637033659918</v>
      </c>
      <c r="V320">
        <v>200.38857099509789</v>
      </c>
      <c r="W320">
        <f>VALUE(","&amp;MID(R320,4,10))</f>
        <v>0.16624722989999999</v>
      </c>
      <c r="X320">
        <f>((O320-0.364)/0.0012)^2+((W320-0.174)/0.016)^2</f>
        <v>0.45004168405508882</v>
      </c>
      <c r="Y320">
        <f>((O320-O$8)/0.0012)^2+((W320-W$8)/0.016)^2</f>
        <v>0.49394036956314386</v>
      </c>
      <c r="Z320" s="5">
        <f>Y320*100</f>
        <v>49.394036956314388</v>
      </c>
    </row>
    <row r="321" spans="1:26" hidden="1" x14ac:dyDescent="0.2">
      <c r="A321" t="s">
        <v>500</v>
      </c>
      <c r="B321" t="s">
        <v>61</v>
      </c>
      <c r="C321">
        <v>2.7</v>
      </c>
      <c r="D321">
        <v>55</v>
      </c>
      <c r="E321">
        <v>7.0200536834151253</v>
      </c>
      <c r="F321">
        <v>6.3248601161261986</v>
      </c>
      <c r="G321">
        <v>1662.3334042017841</v>
      </c>
      <c r="H321">
        <v>0</v>
      </c>
      <c r="I321">
        <v>0.7</v>
      </c>
      <c r="J321" t="b">
        <v>1</v>
      </c>
      <c r="K321">
        <v>1E+20</v>
      </c>
      <c r="L321">
        <v>0.3</v>
      </c>
      <c r="M321" t="b">
        <v>1</v>
      </c>
      <c r="N321">
        <v>100000000000</v>
      </c>
      <c r="O321">
        <v>0.36344325328803628</v>
      </c>
      <c r="P321">
        <v>0.18685251760163521</v>
      </c>
      <c r="Q321">
        <v>0.13016997076544179</v>
      </c>
      <c r="R321" t="s">
        <v>667</v>
      </c>
      <c r="S321" t="s">
        <v>668</v>
      </c>
      <c r="T321">
        <v>1.289935148733321</v>
      </c>
      <c r="U321">
        <v>213.661784284779</v>
      </c>
      <c r="V321">
        <v>200.38857099509789</v>
      </c>
    </row>
    <row r="322" spans="1:26" hidden="1" x14ac:dyDescent="0.2">
      <c r="A322" t="s">
        <v>500</v>
      </c>
      <c r="B322" t="s">
        <v>61</v>
      </c>
      <c r="C322">
        <v>2.7</v>
      </c>
      <c r="D322">
        <v>55</v>
      </c>
      <c r="E322">
        <v>7.0200536834151253</v>
      </c>
      <c r="F322">
        <v>6.3248601161261986</v>
      </c>
      <c r="G322">
        <v>1662.3334042017841</v>
      </c>
      <c r="H322">
        <v>0</v>
      </c>
      <c r="I322">
        <v>0.7</v>
      </c>
      <c r="J322" t="b">
        <v>1</v>
      </c>
      <c r="K322">
        <v>1E+19</v>
      </c>
      <c r="L322">
        <v>0.3</v>
      </c>
      <c r="M322" t="b">
        <v>1</v>
      </c>
      <c r="N322">
        <v>100000000000</v>
      </c>
      <c r="O322">
        <v>0.36344325328803628</v>
      </c>
      <c r="P322">
        <v>0.18685251760163521</v>
      </c>
      <c r="Q322">
        <v>0.13016997076544179</v>
      </c>
      <c r="R322" t="s">
        <v>669</v>
      </c>
      <c r="S322" t="s">
        <v>670</v>
      </c>
      <c r="T322">
        <v>1.289935148733321</v>
      </c>
      <c r="U322">
        <v>226.28007456442509</v>
      </c>
      <c r="V322">
        <v>200.38857099509789</v>
      </c>
    </row>
    <row r="323" spans="1:26" hidden="1" x14ac:dyDescent="0.2">
      <c r="A323" t="s">
        <v>500</v>
      </c>
      <c r="B323" t="s">
        <v>61</v>
      </c>
      <c r="C323">
        <v>2.7</v>
      </c>
      <c r="D323">
        <v>50</v>
      </c>
      <c r="E323">
        <v>7.0192067618841589</v>
      </c>
      <c r="F323">
        <v>6.3269284264725929</v>
      </c>
      <c r="G323">
        <v>1656.8246522017851</v>
      </c>
      <c r="H323">
        <v>0</v>
      </c>
      <c r="I323">
        <v>0.7</v>
      </c>
      <c r="J323" t="b">
        <v>1</v>
      </c>
      <c r="K323">
        <v>1E+20</v>
      </c>
      <c r="L323">
        <v>0.3</v>
      </c>
      <c r="M323" t="b">
        <v>1</v>
      </c>
      <c r="N323">
        <v>100000000000</v>
      </c>
      <c r="O323">
        <v>0.36380670722500291</v>
      </c>
      <c r="P323">
        <v>0.18620978107784791</v>
      </c>
      <c r="Q323">
        <v>0.1296759714926754</v>
      </c>
      <c r="R323" t="s">
        <v>671</v>
      </c>
      <c r="S323" t="s">
        <v>672</v>
      </c>
      <c r="T323">
        <v>1.289935148733321</v>
      </c>
      <c r="U323">
        <v>213.66626987422509</v>
      </c>
      <c r="V323">
        <v>200.48255350415391</v>
      </c>
    </row>
    <row r="324" spans="1:26" hidden="1" x14ac:dyDescent="0.2">
      <c r="A324" t="s">
        <v>500</v>
      </c>
      <c r="B324" t="s">
        <v>61</v>
      </c>
      <c r="C324">
        <v>2.7</v>
      </c>
      <c r="D324">
        <v>50</v>
      </c>
      <c r="E324">
        <v>7.0192067618841589</v>
      </c>
      <c r="F324">
        <v>6.3269284264725929</v>
      </c>
      <c r="G324">
        <v>1656.8246522017851</v>
      </c>
      <c r="H324">
        <v>0</v>
      </c>
      <c r="I324">
        <v>0.7</v>
      </c>
      <c r="J324" t="b">
        <v>1</v>
      </c>
      <c r="K324">
        <v>1E+19</v>
      </c>
      <c r="L324">
        <v>0.3</v>
      </c>
      <c r="M324" t="b">
        <v>1</v>
      </c>
      <c r="N324">
        <v>100000000000</v>
      </c>
      <c r="O324">
        <v>0.36380670722500291</v>
      </c>
      <c r="P324">
        <v>0.18620978107784791</v>
      </c>
      <c r="Q324">
        <v>0.1296759714926754</v>
      </c>
      <c r="R324" t="s">
        <v>673</v>
      </c>
      <c r="S324" t="s">
        <v>674</v>
      </c>
      <c r="T324">
        <v>1.289935148733321</v>
      </c>
      <c r="U324">
        <v>226.19976915498609</v>
      </c>
      <c r="V324">
        <v>200.48255350415391</v>
      </c>
    </row>
    <row r="325" spans="1:26" hidden="1" x14ac:dyDescent="0.2">
      <c r="A325" t="s">
        <v>500</v>
      </c>
      <c r="B325" t="s">
        <v>61</v>
      </c>
      <c r="C325">
        <v>2.7</v>
      </c>
      <c r="D325">
        <v>45</v>
      </c>
      <c r="E325">
        <v>7.0172644490826368</v>
      </c>
      <c r="F325">
        <v>6.328952303122426</v>
      </c>
      <c r="G325">
        <v>1651.3425404225829</v>
      </c>
      <c r="H325">
        <v>0</v>
      </c>
      <c r="I325">
        <v>0.7</v>
      </c>
      <c r="J325" t="b">
        <v>1</v>
      </c>
      <c r="K325">
        <v>1E+20</v>
      </c>
      <c r="L325">
        <v>0.3</v>
      </c>
      <c r="M325" t="b">
        <v>1</v>
      </c>
      <c r="N325">
        <v>100000000000</v>
      </c>
      <c r="O325">
        <v>0.36417384635766858</v>
      </c>
      <c r="P325">
        <v>0.18556112480489079</v>
      </c>
      <c r="Q325">
        <v>0.1291908621807831</v>
      </c>
      <c r="R325" t="s">
        <v>675</v>
      </c>
      <c r="S325" t="s">
        <v>676</v>
      </c>
      <c r="T325">
        <v>1.289935148733321</v>
      </c>
      <c r="U325">
        <v>213.69229173367361</v>
      </c>
      <c r="V325">
        <v>200.57486295319021</v>
      </c>
    </row>
    <row r="326" spans="1:26" hidden="1" x14ac:dyDescent="0.2">
      <c r="A326" t="s">
        <v>500</v>
      </c>
      <c r="B326" t="s">
        <v>61</v>
      </c>
      <c r="C326">
        <v>2.7</v>
      </c>
      <c r="D326">
        <v>45</v>
      </c>
      <c r="E326">
        <v>7.0172644490826368</v>
      </c>
      <c r="F326">
        <v>6.328952303122426</v>
      </c>
      <c r="G326">
        <v>1651.3425404225829</v>
      </c>
      <c r="H326">
        <v>0</v>
      </c>
      <c r="I326">
        <v>0.7</v>
      </c>
      <c r="J326" t="b">
        <v>1</v>
      </c>
      <c r="K326">
        <v>1E+19</v>
      </c>
      <c r="L326">
        <v>0.3</v>
      </c>
      <c r="M326" t="b">
        <v>1</v>
      </c>
      <c r="N326">
        <v>100000000000</v>
      </c>
      <c r="O326">
        <v>0.36417384635766858</v>
      </c>
      <c r="P326">
        <v>0.18556112480489079</v>
      </c>
      <c r="Q326">
        <v>0.1291908621807831</v>
      </c>
      <c r="R326" t="s">
        <v>677</v>
      </c>
      <c r="S326" t="s">
        <v>678</v>
      </c>
      <c r="T326">
        <v>1.289935148733321</v>
      </c>
      <c r="U326">
        <v>226.1581482796756</v>
      </c>
      <c r="V326">
        <v>200.57486295319021</v>
      </c>
    </row>
    <row r="327" spans="1:26" hidden="1" x14ac:dyDescent="0.2">
      <c r="A327" t="s">
        <v>500</v>
      </c>
      <c r="B327" t="s">
        <v>61</v>
      </c>
      <c r="C327">
        <v>2.7</v>
      </c>
      <c r="D327">
        <v>40</v>
      </c>
      <c r="E327">
        <v>7.0121751480139958</v>
      </c>
      <c r="F327">
        <v>6.3308619869956946</v>
      </c>
      <c r="G327">
        <v>1646.0088787746899</v>
      </c>
      <c r="H327">
        <v>0</v>
      </c>
      <c r="I327">
        <v>0.7</v>
      </c>
      <c r="J327" t="b">
        <v>1</v>
      </c>
      <c r="K327">
        <v>1E+20</v>
      </c>
      <c r="L327">
        <v>0.3</v>
      </c>
      <c r="M327" t="b">
        <v>1</v>
      </c>
      <c r="N327">
        <v>100000000000</v>
      </c>
      <c r="O327">
        <v>0.36454701976853682</v>
      </c>
      <c r="P327">
        <v>0.1849006230063385</v>
      </c>
      <c r="Q327">
        <v>0.128714980552701</v>
      </c>
      <c r="R327" t="s">
        <v>679</v>
      </c>
      <c r="S327" t="s">
        <v>680</v>
      </c>
      <c r="T327">
        <v>1.289935148733321</v>
      </c>
      <c r="U327">
        <v>213.6844672462131</v>
      </c>
      <c r="V327">
        <v>200.6618603784888</v>
      </c>
    </row>
    <row r="328" spans="1:26" hidden="1" x14ac:dyDescent="0.2">
      <c r="A328" t="s">
        <v>500</v>
      </c>
      <c r="B328" t="s">
        <v>61</v>
      </c>
      <c r="C328">
        <v>2.7</v>
      </c>
      <c r="D328">
        <v>40</v>
      </c>
      <c r="E328">
        <v>7.0121751480139958</v>
      </c>
      <c r="F328">
        <v>6.3308619869956946</v>
      </c>
      <c r="G328">
        <v>1646.0088787746899</v>
      </c>
      <c r="H328">
        <v>0</v>
      </c>
      <c r="I328">
        <v>0.7</v>
      </c>
      <c r="J328" t="b">
        <v>1</v>
      </c>
      <c r="K328">
        <v>1E+19</v>
      </c>
      <c r="L328">
        <v>0.3</v>
      </c>
      <c r="M328" t="b">
        <v>1</v>
      </c>
      <c r="N328">
        <v>100000000000</v>
      </c>
      <c r="O328">
        <v>0.36454701976853682</v>
      </c>
      <c r="P328">
        <v>0.1849006230063385</v>
      </c>
      <c r="Q328">
        <v>0.128714980552701</v>
      </c>
      <c r="R328" t="s">
        <v>681</v>
      </c>
      <c r="S328" t="s">
        <v>682</v>
      </c>
      <c r="T328">
        <v>1.289935148733321</v>
      </c>
      <c r="U328">
        <v>226.06103316152721</v>
      </c>
      <c r="V328">
        <v>200.6618603784888</v>
      </c>
    </row>
    <row r="329" spans="1:26" x14ac:dyDescent="0.2">
      <c r="A329" t="s">
        <v>500</v>
      </c>
      <c r="B329" t="s">
        <v>61</v>
      </c>
      <c r="C329">
        <v>2.8</v>
      </c>
      <c r="D329">
        <v>65</v>
      </c>
      <c r="E329">
        <v>7.0183555696643056</v>
      </c>
      <c r="F329">
        <v>6.3247300480956667</v>
      </c>
      <c r="G329">
        <v>1662.503164201783</v>
      </c>
      <c r="H329">
        <v>0</v>
      </c>
      <c r="I329">
        <v>0.7</v>
      </c>
      <c r="J329" t="b">
        <v>1</v>
      </c>
      <c r="K329">
        <v>1E+21</v>
      </c>
      <c r="L329">
        <v>0.3</v>
      </c>
      <c r="M329" t="b">
        <v>1</v>
      </c>
      <c r="N329">
        <v>100000000000</v>
      </c>
      <c r="O329">
        <v>0.36345808969022192</v>
      </c>
      <c r="P329">
        <v>0.1868589749859545</v>
      </c>
      <c r="Q329">
        <v>0.1302063722491891</v>
      </c>
      <c r="R329" t="s">
        <v>683</v>
      </c>
      <c r="S329" t="s">
        <v>684</v>
      </c>
      <c r="T329">
        <v>1.289935148733321</v>
      </c>
      <c r="U329">
        <v>209.86185546229891</v>
      </c>
      <c r="V329">
        <v>200.38943829546051</v>
      </c>
      <c r="W329">
        <f>VALUE(","&amp;MID(R329,4,10))</f>
        <v>0.1662955223</v>
      </c>
      <c r="X329">
        <f>((O329-0.364)/0.0012)^2+((W329-0.174)/0.016)^2</f>
        <v>0.43580626901831498</v>
      </c>
      <c r="Y329">
        <f>((O329-O$8)/0.0012)^2+((W329-W$8)/0.016)^2</f>
        <v>0.47626918940124119</v>
      </c>
      <c r="Z329" s="5">
        <f>Y329*100</f>
        <v>47.626918940124121</v>
      </c>
    </row>
    <row r="330" spans="1:26" hidden="1" x14ac:dyDescent="0.2">
      <c r="A330" t="s">
        <v>500</v>
      </c>
      <c r="B330" t="s">
        <v>61</v>
      </c>
      <c r="C330">
        <v>2.8</v>
      </c>
      <c r="D330">
        <v>65</v>
      </c>
      <c r="E330">
        <v>7.0183555696643056</v>
      </c>
      <c r="F330">
        <v>6.3247300480956667</v>
      </c>
      <c r="G330">
        <v>1662.503164201783</v>
      </c>
      <c r="H330">
        <v>0</v>
      </c>
      <c r="I330">
        <v>0.7</v>
      </c>
      <c r="J330" t="b">
        <v>1</v>
      </c>
      <c r="K330">
        <v>1E+20</v>
      </c>
      <c r="L330">
        <v>0.3</v>
      </c>
      <c r="M330" t="b">
        <v>1</v>
      </c>
      <c r="N330">
        <v>100000000000</v>
      </c>
      <c r="O330">
        <v>0.36345808969022192</v>
      </c>
      <c r="P330">
        <v>0.1868589749859545</v>
      </c>
      <c r="Q330">
        <v>0.1302063722491891</v>
      </c>
      <c r="R330" t="s">
        <v>685</v>
      </c>
      <c r="S330" t="s">
        <v>686</v>
      </c>
      <c r="T330">
        <v>1.289935148733321</v>
      </c>
      <c r="U330">
        <v>213.65151702078339</v>
      </c>
      <c r="V330">
        <v>200.38943829546051</v>
      </c>
    </row>
    <row r="331" spans="1:26" hidden="1" x14ac:dyDescent="0.2">
      <c r="A331" t="s">
        <v>500</v>
      </c>
      <c r="B331" t="s">
        <v>61</v>
      </c>
      <c r="C331">
        <v>2.8</v>
      </c>
      <c r="D331">
        <v>65</v>
      </c>
      <c r="E331">
        <v>7.0183555696643056</v>
      </c>
      <c r="F331">
        <v>6.3247300480956667</v>
      </c>
      <c r="G331">
        <v>1662.503164201783</v>
      </c>
      <c r="H331">
        <v>0</v>
      </c>
      <c r="I331">
        <v>0.7</v>
      </c>
      <c r="J331" t="b">
        <v>1</v>
      </c>
      <c r="K331">
        <v>1E+19</v>
      </c>
      <c r="L331">
        <v>0.3</v>
      </c>
      <c r="M331" t="b">
        <v>1</v>
      </c>
      <c r="N331">
        <v>100000000000</v>
      </c>
      <c r="O331">
        <v>0.36345808969022192</v>
      </c>
      <c r="P331">
        <v>0.1868589749859545</v>
      </c>
      <c r="Q331">
        <v>0.1302063722491891</v>
      </c>
      <c r="R331" t="s">
        <v>687</v>
      </c>
      <c r="S331" t="s">
        <v>688</v>
      </c>
      <c r="T331">
        <v>1.289935148733321</v>
      </c>
      <c r="U331">
        <v>226.22278172206831</v>
      </c>
      <c r="V331">
        <v>200.38943829546051</v>
      </c>
    </row>
    <row r="332" spans="1:26" hidden="1" x14ac:dyDescent="0.2">
      <c r="A332" t="s">
        <v>500</v>
      </c>
      <c r="B332" t="s">
        <v>61</v>
      </c>
      <c r="C332">
        <v>2.8</v>
      </c>
      <c r="D332">
        <v>60</v>
      </c>
      <c r="E332">
        <v>7.0203149091768413</v>
      </c>
      <c r="F332">
        <v>6.3265849016256093</v>
      </c>
      <c r="G332">
        <v>1657.6723962017841</v>
      </c>
      <c r="H332">
        <v>0</v>
      </c>
      <c r="I332">
        <v>0.7</v>
      </c>
      <c r="J332" t="b">
        <v>1</v>
      </c>
      <c r="K332">
        <v>1E+20</v>
      </c>
      <c r="L332">
        <v>0.3</v>
      </c>
      <c r="M332" t="b">
        <v>1</v>
      </c>
      <c r="N332">
        <v>100000000000</v>
      </c>
      <c r="O332">
        <v>0.36376078849569371</v>
      </c>
      <c r="P332">
        <v>0.186320238636039</v>
      </c>
      <c r="Q332">
        <v>0.1297642088181796</v>
      </c>
      <c r="R332" t="s">
        <v>689</v>
      </c>
      <c r="S332" t="s">
        <v>690</v>
      </c>
      <c r="T332">
        <v>1.289935148733321</v>
      </c>
      <c r="U332">
        <v>213.65401768551899</v>
      </c>
      <c r="V332">
        <v>200.47038010703471</v>
      </c>
    </row>
    <row r="333" spans="1:26" hidden="1" x14ac:dyDescent="0.2">
      <c r="A333" t="s">
        <v>500</v>
      </c>
      <c r="B333" t="s">
        <v>61</v>
      </c>
      <c r="C333">
        <v>2.8</v>
      </c>
      <c r="D333">
        <v>60</v>
      </c>
      <c r="E333">
        <v>7.0203149091768413</v>
      </c>
      <c r="F333">
        <v>6.3265849016256093</v>
      </c>
      <c r="G333">
        <v>1657.6723962017841</v>
      </c>
      <c r="H333">
        <v>0</v>
      </c>
      <c r="I333">
        <v>0.7</v>
      </c>
      <c r="J333" t="b">
        <v>1</v>
      </c>
      <c r="K333">
        <v>1E+19</v>
      </c>
      <c r="L333">
        <v>0.3</v>
      </c>
      <c r="M333" t="b">
        <v>1</v>
      </c>
      <c r="N333">
        <v>100000000000</v>
      </c>
      <c r="O333">
        <v>0.36376078849569371</v>
      </c>
      <c r="P333">
        <v>0.186320238636039</v>
      </c>
      <c r="Q333">
        <v>0.1297642088181796</v>
      </c>
      <c r="R333" t="s">
        <v>691</v>
      </c>
      <c r="S333" t="s">
        <v>692</v>
      </c>
      <c r="T333">
        <v>1.289935148733321</v>
      </c>
      <c r="U333">
        <v>226.1535953572413</v>
      </c>
      <c r="V333">
        <v>200.47038010703471</v>
      </c>
    </row>
    <row r="334" spans="1:26" hidden="1" x14ac:dyDescent="0.2">
      <c r="A334" t="s">
        <v>500</v>
      </c>
      <c r="B334" t="s">
        <v>61</v>
      </c>
      <c r="C334">
        <v>2.8</v>
      </c>
      <c r="D334">
        <v>55</v>
      </c>
      <c r="E334">
        <v>7.0160627440190204</v>
      </c>
      <c r="F334">
        <v>6.3282225076848473</v>
      </c>
      <c r="G334">
        <v>1653.1806202017849</v>
      </c>
      <c r="H334">
        <v>0</v>
      </c>
      <c r="I334">
        <v>0.7</v>
      </c>
      <c r="J334" t="b">
        <v>1</v>
      </c>
      <c r="K334">
        <v>1E+20</v>
      </c>
      <c r="L334">
        <v>0.3</v>
      </c>
      <c r="M334" t="b">
        <v>1</v>
      </c>
      <c r="N334">
        <v>100000000000</v>
      </c>
      <c r="O334">
        <v>0.36407256259775628</v>
      </c>
      <c r="P334">
        <v>0.1857628927434343</v>
      </c>
      <c r="Q334">
        <v>0.12937128991138369</v>
      </c>
      <c r="R334" t="s">
        <v>693</v>
      </c>
      <c r="S334" t="s">
        <v>694</v>
      </c>
      <c r="T334">
        <v>1.289935148733321</v>
      </c>
      <c r="U334">
        <v>213.66078258764551</v>
      </c>
      <c r="V334">
        <v>200.54737018441131</v>
      </c>
    </row>
    <row r="335" spans="1:26" hidden="1" x14ac:dyDescent="0.2">
      <c r="A335" t="s">
        <v>500</v>
      </c>
      <c r="B335" t="s">
        <v>61</v>
      </c>
      <c r="C335">
        <v>2.8</v>
      </c>
      <c r="D335">
        <v>55</v>
      </c>
      <c r="E335">
        <v>7.0160627440190204</v>
      </c>
      <c r="F335">
        <v>6.3282225076848473</v>
      </c>
      <c r="G335">
        <v>1653.1806202017849</v>
      </c>
      <c r="H335">
        <v>0</v>
      </c>
      <c r="I335">
        <v>0.7</v>
      </c>
      <c r="J335" t="b">
        <v>1</v>
      </c>
      <c r="K335">
        <v>1E+19</v>
      </c>
      <c r="L335">
        <v>0.3</v>
      </c>
      <c r="M335" t="b">
        <v>1</v>
      </c>
      <c r="N335">
        <v>100000000000</v>
      </c>
      <c r="O335">
        <v>0.36407256259775628</v>
      </c>
      <c r="P335">
        <v>0.1857628927434343</v>
      </c>
      <c r="Q335">
        <v>0.12937128991138369</v>
      </c>
      <c r="R335" t="s">
        <v>695</v>
      </c>
      <c r="S335" t="s">
        <v>696</v>
      </c>
      <c r="T335">
        <v>1.289935148733321</v>
      </c>
      <c r="U335">
        <v>226.09905016271071</v>
      </c>
      <c r="V335">
        <v>200.54737018441131</v>
      </c>
    </row>
    <row r="336" spans="1:26" hidden="1" x14ac:dyDescent="0.2">
      <c r="A336" t="s">
        <v>500</v>
      </c>
      <c r="B336" t="s">
        <v>61</v>
      </c>
      <c r="C336">
        <v>2.8</v>
      </c>
      <c r="D336">
        <v>50</v>
      </c>
      <c r="E336">
        <v>7.0145087615011361</v>
      </c>
      <c r="F336">
        <v>6.3299454607601247</v>
      </c>
      <c r="G336">
        <v>1648.504658275561</v>
      </c>
      <c r="H336">
        <v>0</v>
      </c>
      <c r="I336">
        <v>0.7</v>
      </c>
      <c r="J336" t="b">
        <v>1</v>
      </c>
      <c r="K336">
        <v>1E+20</v>
      </c>
      <c r="L336">
        <v>0.3</v>
      </c>
      <c r="M336" t="b">
        <v>1</v>
      </c>
      <c r="N336">
        <v>100000000000</v>
      </c>
      <c r="O336">
        <v>0.3643830168689427</v>
      </c>
      <c r="P336">
        <v>0.18521080409607249</v>
      </c>
      <c r="Q336">
        <v>0.12895783741191019</v>
      </c>
      <c r="R336" t="s">
        <v>697</v>
      </c>
      <c r="S336" t="s">
        <v>698</v>
      </c>
      <c r="T336">
        <v>1.289935148733321</v>
      </c>
      <c r="U336">
        <v>213.68106302977051</v>
      </c>
      <c r="V336">
        <v>200.62495506841341</v>
      </c>
    </row>
    <row r="337" spans="1:22" hidden="1" x14ac:dyDescent="0.2">
      <c r="A337" t="s">
        <v>500</v>
      </c>
      <c r="B337" t="s">
        <v>61</v>
      </c>
      <c r="C337">
        <v>2.8</v>
      </c>
      <c r="D337">
        <v>50</v>
      </c>
      <c r="E337">
        <v>7.0145087615011361</v>
      </c>
      <c r="F337">
        <v>6.3299454607601247</v>
      </c>
      <c r="G337">
        <v>1648.504658275561</v>
      </c>
      <c r="H337">
        <v>0</v>
      </c>
      <c r="I337">
        <v>0.7</v>
      </c>
      <c r="J337" t="b">
        <v>1</v>
      </c>
      <c r="K337">
        <v>1E+19</v>
      </c>
      <c r="L337">
        <v>0.3</v>
      </c>
      <c r="M337" t="b">
        <v>1</v>
      </c>
      <c r="N337">
        <v>100000000000</v>
      </c>
      <c r="O337">
        <v>0.3643830168689427</v>
      </c>
      <c r="P337">
        <v>0.18521080409607249</v>
      </c>
      <c r="Q337">
        <v>0.12895783741191019</v>
      </c>
      <c r="R337" t="s">
        <v>699</v>
      </c>
      <c r="S337" t="s">
        <v>700</v>
      </c>
      <c r="T337">
        <v>1.289935148733321</v>
      </c>
      <c r="U337">
        <v>226.06405176340311</v>
      </c>
      <c r="V337">
        <v>200.62495506841341</v>
      </c>
    </row>
    <row r="338" spans="1:22" hidden="1" x14ac:dyDescent="0.2">
      <c r="A338" t="s">
        <v>500</v>
      </c>
      <c r="B338" t="s">
        <v>61</v>
      </c>
      <c r="C338">
        <v>2.9</v>
      </c>
      <c r="D338">
        <v>70</v>
      </c>
      <c r="E338">
        <v>7.016301387736041</v>
      </c>
      <c r="F338">
        <v>6.3273170166546366</v>
      </c>
      <c r="G338">
        <v>1655.469212201783</v>
      </c>
      <c r="H338">
        <v>0</v>
      </c>
      <c r="I338">
        <v>0.7</v>
      </c>
      <c r="J338" t="b">
        <v>1</v>
      </c>
      <c r="K338">
        <v>1E+20</v>
      </c>
      <c r="L338">
        <v>0.3</v>
      </c>
      <c r="M338" t="b">
        <v>1</v>
      </c>
      <c r="N338">
        <v>100000000000</v>
      </c>
      <c r="O338">
        <v>0.36394281325124728</v>
      </c>
      <c r="P338">
        <v>0.18603169154588989</v>
      </c>
      <c r="Q338">
        <v>0.12959680682317609</v>
      </c>
      <c r="R338" t="s">
        <v>701</v>
      </c>
      <c r="S338" t="s">
        <v>702</v>
      </c>
      <c r="T338">
        <v>1.289935148733321</v>
      </c>
      <c r="U338">
        <v>213.64421030158849</v>
      </c>
      <c r="V338">
        <v>200.51287294682339</v>
      </c>
    </row>
    <row r="339" spans="1:22" hidden="1" x14ac:dyDescent="0.2">
      <c r="A339" t="s">
        <v>500</v>
      </c>
      <c r="B339" t="s">
        <v>61</v>
      </c>
      <c r="C339">
        <v>2.9</v>
      </c>
      <c r="D339">
        <v>70</v>
      </c>
      <c r="E339">
        <v>7.016301387736041</v>
      </c>
      <c r="F339">
        <v>6.3273170166546366</v>
      </c>
      <c r="G339">
        <v>1655.469212201783</v>
      </c>
      <c r="H339">
        <v>0</v>
      </c>
      <c r="I339">
        <v>0.7</v>
      </c>
      <c r="J339" t="b">
        <v>1</v>
      </c>
      <c r="K339">
        <v>1E+19</v>
      </c>
      <c r="L339">
        <v>0.3</v>
      </c>
      <c r="M339" t="b">
        <v>1</v>
      </c>
      <c r="N339">
        <v>100000000000</v>
      </c>
      <c r="O339">
        <v>0.36394281325124728</v>
      </c>
      <c r="P339">
        <v>0.18603169154588989</v>
      </c>
      <c r="Q339">
        <v>0.12959680682317609</v>
      </c>
      <c r="R339" t="s">
        <v>703</v>
      </c>
      <c r="S339" t="s">
        <v>704</v>
      </c>
      <c r="T339">
        <v>1.289935148733321</v>
      </c>
      <c r="U339">
        <v>226.0520212722781</v>
      </c>
      <c r="V339">
        <v>200.51287294682339</v>
      </c>
    </row>
    <row r="340" spans="1:22" hidden="1" x14ac:dyDescent="0.2">
      <c r="A340" t="s">
        <v>500</v>
      </c>
      <c r="B340" t="s">
        <v>61</v>
      </c>
      <c r="C340">
        <v>2.9</v>
      </c>
      <c r="D340">
        <v>65</v>
      </c>
      <c r="E340">
        <v>7.0173382645461473</v>
      </c>
      <c r="F340">
        <v>6.3288223980721794</v>
      </c>
      <c r="G340">
        <v>1651.4934333761</v>
      </c>
      <c r="H340">
        <v>0</v>
      </c>
      <c r="I340">
        <v>0.7</v>
      </c>
      <c r="J340" t="b">
        <v>1</v>
      </c>
      <c r="K340">
        <v>1E+20</v>
      </c>
      <c r="L340">
        <v>0.3</v>
      </c>
      <c r="M340" t="b">
        <v>1</v>
      </c>
      <c r="N340">
        <v>100000000000</v>
      </c>
      <c r="O340">
        <v>0.36419240827907229</v>
      </c>
      <c r="P340">
        <v>0.18558374700363431</v>
      </c>
      <c r="Q340">
        <v>0.12924398674011811</v>
      </c>
      <c r="R340" t="s">
        <v>705</v>
      </c>
      <c r="S340" t="s">
        <v>706</v>
      </c>
      <c r="T340">
        <v>1.289935148733321</v>
      </c>
      <c r="U340">
        <v>213.65565335537551</v>
      </c>
      <c r="V340">
        <v>200.57934220361091</v>
      </c>
    </row>
    <row r="341" spans="1:22" hidden="1" x14ac:dyDescent="0.2">
      <c r="A341" t="s">
        <v>500</v>
      </c>
      <c r="B341" t="s">
        <v>61</v>
      </c>
      <c r="C341">
        <v>2.9</v>
      </c>
      <c r="D341">
        <v>65</v>
      </c>
      <c r="E341">
        <v>7.0173382645461473</v>
      </c>
      <c r="F341">
        <v>6.3288223980721794</v>
      </c>
      <c r="G341">
        <v>1651.4934333761</v>
      </c>
      <c r="H341">
        <v>0</v>
      </c>
      <c r="I341">
        <v>0.7</v>
      </c>
      <c r="J341" t="b">
        <v>1</v>
      </c>
      <c r="K341">
        <v>1E+19</v>
      </c>
      <c r="L341">
        <v>0.3</v>
      </c>
      <c r="M341" t="b">
        <v>1</v>
      </c>
      <c r="N341">
        <v>100000000000</v>
      </c>
      <c r="O341">
        <v>0.36419240827907229</v>
      </c>
      <c r="P341">
        <v>0.18558374700363431</v>
      </c>
      <c r="Q341">
        <v>0.12924398674011811</v>
      </c>
      <c r="R341" t="s">
        <v>707</v>
      </c>
      <c r="S341" t="s">
        <v>708</v>
      </c>
      <c r="T341">
        <v>1.289935148733321</v>
      </c>
      <c r="U341">
        <v>226.01460711118219</v>
      </c>
      <c r="V341">
        <v>200.57934220361091</v>
      </c>
    </row>
    <row r="342" spans="1:22" hidden="1" x14ac:dyDescent="0.2">
      <c r="A342" t="s">
        <v>500</v>
      </c>
      <c r="B342" t="s">
        <v>61</v>
      </c>
      <c r="C342">
        <v>2.9</v>
      </c>
      <c r="D342">
        <v>60</v>
      </c>
      <c r="E342">
        <v>7.013782330649363</v>
      </c>
      <c r="F342">
        <v>6.3301692578771238</v>
      </c>
      <c r="G342">
        <v>1647.7735481612999</v>
      </c>
      <c r="H342">
        <v>0</v>
      </c>
      <c r="I342">
        <v>0.7</v>
      </c>
      <c r="J342" t="b">
        <v>1</v>
      </c>
      <c r="K342">
        <v>1E+20</v>
      </c>
      <c r="L342">
        <v>0.3</v>
      </c>
      <c r="M342" t="b">
        <v>1</v>
      </c>
      <c r="N342">
        <v>100000000000</v>
      </c>
      <c r="O342">
        <v>0.36444846164043421</v>
      </c>
      <c r="P342">
        <v>0.1851222449157934</v>
      </c>
      <c r="Q342">
        <v>0.12891024396905021</v>
      </c>
      <c r="R342" t="s">
        <v>709</v>
      </c>
      <c r="S342" t="s">
        <v>710</v>
      </c>
      <c r="T342">
        <v>1.289935148733321</v>
      </c>
      <c r="U342">
        <v>213.66052654980629</v>
      </c>
      <c r="V342">
        <v>200.6399561004244</v>
      </c>
    </row>
    <row r="343" spans="1:22" hidden="1" x14ac:dyDescent="0.2">
      <c r="A343" t="s">
        <v>500</v>
      </c>
      <c r="B343" t="s">
        <v>61</v>
      </c>
      <c r="C343">
        <v>2.9</v>
      </c>
      <c r="D343">
        <v>60</v>
      </c>
      <c r="E343">
        <v>7.013782330649363</v>
      </c>
      <c r="F343">
        <v>6.3301692578771238</v>
      </c>
      <c r="G343">
        <v>1647.7735481612999</v>
      </c>
      <c r="H343">
        <v>0</v>
      </c>
      <c r="I343">
        <v>0.7</v>
      </c>
      <c r="J343" t="b">
        <v>1</v>
      </c>
      <c r="K343">
        <v>1E+19</v>
      </c>
      <c r="L343">
        <v>0.3</v>
      </c>
      <c r="M343" t="b">
        <v>1</v>
      </c>
      <c r="N343">
        <v>100000000000</v>
      </c>
      <c r="O343">
        <v>0.36444846164043421</v>
      </c>
      <c r="P343">
        <v>0.1851222449157934</v>
      </c>
      <c r="Q343">
        <v>0.12891024396905021</v>
      </c>
      <c r="R343" t="s">
        <v>711</v>
      </c>
      <c r="S343" t="s">
        <v>712</v>
      </c>
      <c r="T343">
        <v>1.289935148733321</v>
      </c>
      <c r="U343">
        <v>225.96956021043019</v>
      </c>
      <c r="V343">
        <v>200.6399561004244</v>
      </c>
    </row>
    <row r="344" spans="1:22" hidden="1" x14ac:dyDescent="0.2">
      <c r="A344" t="s">
        <v>500</v>
      </c>
      <c r="B344" t="s">
        <v>61</v>
      </c>
      <c r="C344">
        <v>2.7</v>
      </c>
      <c r="D344">
        <v>50</v>
      </c>
      <c r="E344">
        <v>7.1852553437042443</v>
      </c>
      <c r="F344">
        <v>6.5047035965725151</v>
      </c>
      <c r="G344">
        <v>1620.5446370901179</v>
      </c>
      <c r="H344">
        <v>0</v>
      </c>
      <c r="I344">
        <v>0.6</v>
      </c>
      <c r="J344" t="b">
        <v>1</v>
      </c>
      <c r="K344">
        <v>1E+19</v>
      </c>
      <c r="L344">
        <v>0.3</v>
      </c>
      <c r="M344" t="b">
        <v>1</v>
      </c>
      <c r="N344">
        <v>100000000000</v>
      </c>
      <c r="O344">
        <v>0.3635242956553103</v>
      </c>
      <c r="P344">
        <v>0.1829561686054256</v>
      </c>
      <c r="Q344">
        <v>0.12504995049412601</v>
      </c>
      <c r="R344" t="s">
        <v>713</v>
      </c>
      <c r="S344" t="s">
        <v>714</v>
      </c>
      <c r="T344">
        <v>1.289935148733321</v>
      </c>
      <c r="U344">
        <v>224.48243009067531</v>
      </c>
      <c r="V344">
        <v>200.5543544597252</v>
      </c>
    </row>
    <row r="345" spans="1:22" hidden="1" x14ac:dyDescent="0.2">
      <c r="A345" t="s">
        <v>500</v>
      </c>
      <c r="B345" t="s">
        <v>61</v>
      </c>
      <c r="C345">
        <v>2.7</v>
      </c>
      <c r="D345">
        <v>50</v>
      </c>
      <c r="E345">
        <v>7.1852553437042443</v>
      </c>
      <c r="F345">
        <v>6.5047035965725151</v>
      </c>
      <c r="G345">
        <v>1620.5446370901179</v>
      </c>
      <c r="H345">
        <v>0</v>
      </c>
      <c r="I345">
        <v>0.6</v>
      </c>
      <c r="J345" t="b">
        <v>1</v>
      </c>
      <c r="K345">
        <v>1E+18</v>
      </c>
      <c r="L345">
        <v>0.3</v>
      </c>
      <c r="M345" t="b">
        <v>1</v>
      </c>
      <c r="N345">
        <v>100000000000</v>
      </c>
      <c r="O345">
        <v>0.3635242956553103</v>
      </c>
      <c r="P345">
        <v>0.1829561686054256</v>
      </c>
      <c r="Q345">
        <v>0.12504995049412601</v>
      </c>
      <c r="R345" t="s">
        <v>715</v>
      </c>
      <c r="S345" t="s">
        <v>716</v>
      </c>
      <c r="T345">
        <v>1.289935148733321</v>
      </c>
      <c r="U345">
        <v>277.9386559021014</v>
      </c>
      <c r="V345">
        <v>200.5543544597252</v>
      </c>
    </row>
    <row r="346" spans="1:22" hidden="1" x14ac:dyDescent="0.2">
      <c r="A346" t="s">
        <v>500</v>
      </c>
      <c r="B346" t="s">
        <v>61</v>
      </c>
      <c r="C346">
        <v>2.7</v>
      </c>
      <c r="D346">
        <v>45</v>
      </c>
      <c r="E346">
        <v>7.1802679186560159</v>
      </c>
      <c r="F346">
        <v>6.5064349912202717</v>
      </c>
      <c r="G346">
        <v>1615.3706627710951</v>
      </c>
      <c r="H346">
        <v>0</v>
      </c>
      <c r="I346">
        <v>0.6</v>
      </c>
      <c r="J346" t="b">
        <v>1</v>
      </c>
      <c r="K346">
        <v>1E+19</v>
      </c>
      <c r="L346">
        <v>0.3</v>
      </c>
      <c r="M346" t="b">
        <v>1</v>
      </c>
      <c r="N346">
        <v>100000000000</v>
      </c>
      <c r="O346">
        <v>0.36389934576361621</v>
      </c>
      <c r="P346">
        <v>0.18231891378437801</v>
      </c>
      <c r="Q346">
        <v>0.1246413955982975</v>
      </c>
      <c r="R346" t="s">
        <v>717</v>
      </c>
      <c r="S346" t="s">
        <v>718</v>
      </c>
      <c r="T346">
        <v>1.289935148733321</v>
      </c>
      <c r="U346">
        <v>224.43261899255441</v>
      </c>
      <c r="V346">
        <v>200.6400096966027</v>
      </c>
    </row>
    <row r="347" spans="1:22" hidden="1" x14ac:dyDescent="0.2">
      <c r="A347" t="s">
        <v>500</v>
      </c>
      <c r="B347" t="s">
        <v>61</v>
      </c>
      <c r="C347">
        <v>2.7</v>
      </c>
      <c r="D347">
        <v>45</v>
      </c>
      <c r="E347">
        <v>7.1802679186560159</v>
      </c>
      <c r="F347">
        <v>6.5064349912202717</v>
      </c>
      <c r="G347">
        <v>1615.3706627710951</v>
      </c>
      <c r="H347">
        <v>0</v>
      </c>
      <c r="I347">
        <v>0.6</v>
      </c>
      <c r="J347" t="b">
        <v>1</v>
      </c>
      <c r="K347">
        <v>1E+18</v>
      </c>
      <c r="L347">
        <v>0.3</v>
      </c>
      <c r="M347" t="b">
        <v>1</v>
      </c>
      <c r="N347">
        <v>100000000000</v>
      </c>
      <c r="O347">
        <v>0.36389934576361621</v>
      </c>
      <c r="P347">
        <v>0.18231891378437801</v>
      </c>
      <c r="Q347">
        <v>0.1246413955982975</v>
      </c>
      <c r="R347" t="s">
        <v>719</v>
      </c>
      <c r="S347" t="s">
        <v>720</v>
      </c>
      <c r="T347">
        <v>1.289935148733321</v>
      </c>
      <c r="U347">
        <v>276.94877399115381</v>
      </c>
      <c r="V347">
        <v>200.6400096966027</v>
      </c>
    </row>
    <row r="348" spans="1:22" hidden="1" x14ac:dyDescent="0.2">
      <c r="A348" t="s">
        <v>500</v>
      </c>
      <c r="B348" t="s">
        <v>61</v>
      </c>
      <c r="C348">
        <v>2.7</v>
      </c>
      <c r="D348">
        <v>40</v>
      </c>
      <c r="E348">
        <v>7.1811434609698797</v>
      </c>
      <c r="F348">
        <v>6.5083519708778228</v>
      </c>
      <c r="G348">
        <v>1609.8217212357799</v>
      </c>
      <c r="H348">
        <v>0</v>
      </c>
      <c r="I348">
        <v>0.6</v>
      </c>
      <c r="J348" t="b">
        <v>1</v>
      </c>
      <c r="K348">
        <v>1E+19</v>
      </c>
      <c r="L348">
        <v>0.3</v>
      </c>
      <c r="M348" t="b">
        <v>1</v>
      </c>
      <c r="N348">
        <v>100000000000</v>
      </c>
      <c r="O348">
        <v>0.36427051389252457</v>
      </c>
      <c r="P348">
        <v>0.1816970171558544</v>
      </c>
      <c r="Q348">
        <v>0.1241899819721457</v>
      </c>
      <c r="R348" t="s">
        <v>721</v>
      </c>
      <c r="S348" t="s">
        <v>722</v>
      </c>
      <c r="T348">
        <v>1.289935148733321</v>
      </c>
      <c r="U348">
        <v>224.37419861204381</v>
      </c>
      <c r="V348">
        <v>200.7271261320823</v>
      </c>
    </row>
    <row r="349" spans="1:22" hidden="1" x14ac:dyDescent="0.2">
      <c r="A349" t="s">
        <v>500</v>
      </c>
      <c r="B349" t="s">
        <v>61</v>
      </c>
      <c r="C349">
        <v>2.7</v>
      </c>
      <c r="D349">
        <v>40</v>
      </c>
      <c r="E349">
        <v>7.1811434609698797</v>
      </c>
      <c r="F349">
        <v>6.5083519708778228</v>
      </c>
      <c r="G349">
        <v>1609.8217212357799</v>
      </c>
      <c r="H349">
        <v>0</v>
      </c>
      <c r="I349">
        <v>0.6</v>
      </c>
      <c r="J349" t="b">
        <v>1</v>
      </c>
      <c r="K349">
        <v>1E+18</v>
      </c>
      <c r="L349">
        <v>0.3</v>
      </c>
      <c r="M349" t="b">
        <v>1</v>
      </c>
      <c r="N349">
        <v>100000000000</v>
      </c>
      <c r="O349">
        <v>0.36427051389252457</v>
      </c>
      <c r="P349">
        <v>0.1816970171558544</v>
      </c>
      <c r="Q349">
        <v>0.1241899819721457</v>
      </c>
      <c r="R349" t="s">
        <v>723</v>
      </c>
      <c r="S349" t="s">
        <v>724</v>
      </c>
      <c r="T349">
        <v>1.289935148733321</v>
      </c>
      <c r="U349">
        <v>276.52613057114343</v>
      </c>
      <c r="V349">
        <v>200.7271261320823</v>
      </c>
    </row>
    <row r="350" spans="1:22" hidden="1" x14ac:dyDescent="0.2">
      <c r="A350" t="s">
        <v>500</v>
      </c>
      <c r="B350" t="s">
        <v>61</v>
      </c>
      <c r="C350">
        <v>2.8</v>
      </c>
      <c r="D350">
        <v>60</v>
      </c>
      <c r="E350">
        <v>7.1860450453608973</v>
      </c>
      <c r="F350">
        <v>6.5043787768706149</v>
      </c>
      <c r="G350">
        <v>1621.39002725151</v>
      </c>
      <c r="H350">
        <v>0</v>
      </c>
      <c r="I350">
        <v>0.6</v>
      </c>
      <c r="J350" t="b">
        <v>1</v>
      </c>
      <c r="K350">
        <v>1E+19</v>
      </c>
      <c r="L350">
        <v>0.3</v>
      </c>
      <c r="M350" t="b">
        <v>1</v>
      </c>
      <c r="N350">
        <v>100000000000</v>
      </c>
      <c r="O350">
        <v>0.36347800971461142</v>
      </c>
      <c r="P350">
        <v>0.1830624500551867</v>
      </c>
      <c r="Q350">
        <v>0.12513090863243459</v>
      </c>
      <c r="R350" t="s">
        <v>725</v>
      </c>
      <c r="S350" t="s">
        <v>726</v>
      </c>
      <c r="T350">
        <v>1.289935148733321</v>
      </c>
      <c r="U350">
        <v>224.44197807253229</v>
      </c>
      <c r="V350">
        <v>200.5426687218945</v>
      </c>
    </row>
    <row r="351" spans="1:22" hidden="1" x14ac:dyDescent="0.2">
      <c r="A351" t="s">
        <v>500</v>
      </c>
      <c r="B351" t="s">
        <v>61</v>
      </c>
      <c r="C351">
        <v>2.8</v>
      </c>
      <c r="D351">
        <v>60</v>
      </c>
      <c r="E351">
        <v>7.1860450453608973</v>
      </c>
      <c r="F351">
        <v>6.5043787768706149</v>
      </c>
      <c r="G351">
        <v>1621.39002725151</v>
      </c>
      <c r="H351">
        <v>0</v>
      </c>
      <c r="I351">
        <v>0.6</v>
      </c>
      <c r="J351" t="b">
        <v>1</v>
      </c>
      <c r="K351">
        <v>1E+18</v>
      </c>
      <c r="L351">
        <v>0.3</v>
      </c>
      <c r="M351" t="b">
        <v>1</v>
      </c>
      <c r="N351">
        <v>100000000000</v>
      </c>
      <c r="O351">
        <v>0.36347800971461142</v>
      </c>
      <c r="P351">
        <v>0.1830624500551867</v>
      </c>
      <c r="Q351">
        <v>0.12513090863243459</v>
      </c>
      <c r="R351" t="s">
        <v>727</v>
      </c>
      <c r="S351" t="s">
        <v>728</v>
      </c>
      <c r="T351">
        <v>1.289935148733321</v>
      </c>
      <c r="U351">
        <v>277.45980988688058</v>
      </c>
      <c r="V351">
        <v>200.5426687218945</v>
      </c>
    </row>
    <row r="352" spans="1:22" hidden="1" x14ac:dyDescent="0.2">
      <c r="A352" t="s">
        <v>500</v>
      </c>
      <c r="B352" t="s">
        <v>61</v>
      </c>
      <c r="C352">
        <v>2.8</v>
      </c>
      <c r="D352">
        <v>55</v>
      </c>
      <c r="E352">
        <v>7.1818107954834387</v>
      </c>
      <c r="F352">
        <v>6.5058582891878451</v>
      </c>
      <c r="G352">
        <v>1617.005894019481</v>
      </c>
      <c r="H352">
        <v>0</v>
      </c>
      <c r="I352">
        <v>0.6</v>
      </c>
      <c r="J352" t="b">
        <v>1</v>
      </c>
      <c r="K352">
        <v>1E+19</v>
      </c>
      <c r="L352">
        <v>0.3</v>
      </c>
      <c r="M352" t="b">
        <v>1</v>
      </c>
      <c r="N352">
        <v>100000000000</v>
      </c>
      <c r="O352">
        <v>0.36379354522703788</v>
      </c>
      <c r="P352">
        <v>0.18252188882296591</v>
      </c>
      <c r="Q352">
        <v>0.1247804733390605</v>
      </c>
      <c r="R352" t="s">
        <v>729</v>
      </c>
      <c r="S352" t="s">
        <v>730</v>
      </c>
      <c r="T352">
        <v>1.289935148733321</v>
      </c>
      <c r="U352">
        <v>224.40678690271409</v>
      </c>
      <c r="V352">
        <v>200.61491566194519</v>
      </c>
    </row>
    <row r="353" spans="1:22" hidden="1" x14ac:dyDescent="0.2">
      <c r="A353" t="s">
        <v>500</v>
      </c>
      <c r="B353" t="s">
        <v>61</v>
      </c>
      <c r="C353">
        <v>2.8</v>
      </c>
      <c r="D353">
        <v>55</v>
      </c>
      <c r="E353">
        <v>7.1818107954834387</v>
      </c>
      <c r="F353">
        <v>6.5058582891878451</v>
      </c>
      <c r="G353">
        <v>1617.005894019481</v>
      </c>
      <c r="H353">
        <v>0</v>
      </c>
      <c r="I353">
        <v>0.6</v>
      </c>
      <c r="J353" t="b">
        <v>1</v>
      </c>
      <c r="K353">
        <v>1E+18</v>
      </c>
      <c r="L353">
        <v>0.3</v>
      </c>
      <c r="M353" t="b">
        <v>1</v>
      </c>
      <c r="N353">
        <v>100000000000</v>
      </c>
      <c r="O353">
        <v>0.36379354522703788</v>
      </c>
      <c r="P353">
        <v>0.18252188882296591</v>
      </c>
      <c r="Q353">
        <v>0.1247804733390605</v>
      </c>
      <c r="R353" t="s">
        <v>731</v>
      </c>
      <c r="S353" t="s">
        <v>732</v>
      </c>
      <c r="T353">
        <v>1.289935148733321</v>
      </c>
      <c r="U353">
        <v>274.7655160215354</v>
      </c>
      <c r="V353">
        <v>200.61491566194519</v>
      </c>
    </row>
    <row r="354" spans="1:22" hidden="1" x14ac:dyDescent="0.2">
      <c r="A354" t="s">
        <v>500</v>
      </c>
      <c r="B354" t="s">
        <v>61</v>
      </c>
      <c r="C354">
        <v>2.8</v>
      </c>
      <c r="D354">
        <v>50</v>
      </c>
      <c r="E354">
        <v>7.1834633976219262</v>
      </c>
      <c r="F354">
        <v>6.5075222042543981</v>
      </c>
      <c r="G354">
        <v>1612.2591058465421</v>
      </c>
      <c r="H354">
        <v>0</v>
      </c>
      <c r="I354">
        <v>0.6</v>
      </c>
      <c r="J354" t="b">
        <v>1</v>
      </c>
      <c r="K354">
        <v>1E+19</v>
      </c>
      <c r="L354">
        <v>0.3</v>
      </c>
      <c r="M354" t="b">
        <v>1</v>
      </c>
      <c r="N354">
        <v>100000000000</v>
      </c>
      <c r="O354">
        <v>0.36410445390626428</v>
      </c>
      <c r="P354">
        <v>0.18199795975191549</v>
      </c>
      <c r="Q354">
        <v>0.1244037475697168</v>
      </c>
      <c r="R354" t="s">
        <v>733</v>
      </c>
      <c r="S354" t="s">
        <v>734</v>
      </c>
      <c r="T354">
        <v>1.289935148733321</v>
      </c>
      <c r="U354">
        <v>224.3554595672548</v>
      </c>
      <c r="V354">
        <v>200.6917455311916</v>
      </c>
    </row>
    <row r="355" spans="1:22" hidden="1" x14ac:dyDescent="0.2">
      <c r="A355" t="s">
        <v>500</v>
      </c>
      <c r="B355" t="s">
        <v>61</v>
      </c>
      <c r="C355">
        <v>2.8</v>
      </c>
      <c r="D355">
        <v>50</v>
      </c>
      <c r="E355">
        <v>7.1834633976219262</v>
      </c>
      <c r="F355">
        <v>6.5075222042543981</v>
      </c>
      <c r="G355">
        <v>1612.2591058465421</v>
      </c>
      <c r="H355">
        <v>0</v>
      </c>
      <c r="I355">
        <v>0.6</v>
      </c>
      <c r="J355" t="b">
        <v>1</v>
      </c>
      <c r="K355">
        <v>1E+18</v>
      </c>
      <c r="L355">
        <v>0.3</v>
      </c>
      <c r="M355" t="b">
        <v>1</v>
      </c>
      <c r="N355">
        <v>100000000000</v>
      </c>
      <c r="O355">
        <v>0.36410445390626428</v>
      </c>
      <c r="P355">
        <v>0.18199795975191549</v>
      </c>
      <c r="Q355">
        <v>0.1244037475697168</v>
      </c>
      <c r="R355" t="s">
        <v>735</v>
      </c>
      <c r="S355" t="s">
        <v>736</v>
      </c>
      <c r="T355">
        <v>1.289935148733321</v>
      </c>
      <c r="U355">
        <v>277.02989723476509</v>
      </c>
      <c r="V355">
        <v>200.6917455311916</v>
      </c>
    </row>
    <row r="356" spans="1:22" hidden="1" x14ac:dyDescent="0.2">
      <c r="A356" t="s">
        <v>500</v>
      </c>
      <c r="B356" t="s">
        <v>61</v>
      </c>
      <c r="C356">
        <v>2.8</v>
      </c>
      <c r="D356">
        <v>45</v>
      </c>
      <c r="E356">
        <v>7.1792133765973469</v>
      </c>
      <c r="F356">
        <v>6.5089854150326989</v>
      </c>
      <c r="G356">
        <v>1607.8251768785699</v>
      </c>
      <c r="H356">
        <v>0</v>
      </c>
      <c r="I356">
        <v>0.6</v>
      </c>
      <c r="J356" t="b">
        <v>1</v>
      </c>
      <c r="K356">
        <v>1E+19</v>
      </c>
      <c r="L356">
        <v>0.3</v>
      </c>
      <c r="M356" t="b">
        <v>1</v>
      </c>
      <c r="N356">
        <v>100000000000</v>
      </c>
      <c r="O356">
        <v>0.36442365761707229</v>
      </c>
      <c r="P356">
        <v>0.181452965374027</v>
      </c>
      <c r="Q356">
        <v>0.12407504898810991</v>
      </c>
      <c r="R356" t="s">
        <v>737</v>
      </c>
      <c r="S356" t="s">
        <v>738</v>
      </c>
      <c r="T356">
        <v>1.289935148733321</v>
      </c>
      <c r="U356">
        <v>224.3266569747021</v>
      </c>
      <c r="V356">
        <v>200.76619790302041</v>
      </c>
    </row>
    <row r="357" spans="1:22" hidden="1" x14ac:dyDescent="0.2">
      <c r="A357" t="s">
        <v>500</v>
      </c>
      <c r="B357" t="s">
        <v>61</v>
      </c>
      <c r="C357">
        <v>2.8</v>
      </c>
      <c r="D357">
        <v>45</v>
      </c>
      <c r="E357">
        <v>7.1792133765973469</v>
      </c>
      <c r="F357">
        <v>6.5089854150326989</v>
      </c>
      <c r="G357">
        <v>1607.8251768785699</v>
      </c>
      <c r="H357">
        <v>0</v>
      </c>
      <c r="I357">
        <v>0.6</v>
      </c>
      <c r="J357" t="b">
        <v>1</v>
      </c>
      <c r="K357">
        <v>1E+18</v>
      </c>
      <c r="L357">
        <v>0.3</v>
      </c>
      <c r="M357" t="b">
        <v>1</v>
      </c>
      <c r="N357">
        <v>100000000000</v>
      </c>
      <c r="O357">
        <v>0.36442365761707229</v>
      </c>
      <c r="P357">
        <v>0.181452965374027</v>
      </c>
      <c r="Q357">
        <v>0.12407504898810991</v>
      </c>
      <c r="R357" t="s">
        <v>739</v>
      </c>
      <c r="S357" t="s">
        <v>740</v>
      </c>
      <c r="T357">
        <v>1.289935148733321</v>
      </c>
      <c r="U357">
        <v>276.45188168632092</v>
      </c>
      <c r="V357">
        <v>200.76619790302041</v>
      </c>
    </row>
    <row r="358" spans="1:22" hidden="1" x14ac:dyDescent="0.2">
      <c r="A358" t="s">
        <v>500</v>
      </c>
      <c r="B358" t="s">
        <v>61</v>
      </c>
      <c r="C358">
        <v>2.9</v>
      </c>
      <c r="D358">
        <v>70</v>
      </c>
      <c r="E358">
        <v>7.183816283601498</v>
      </c>
      <c r="F358">
        <v>6.5050921964583326</v>
      </c>
      <c r="G358">
        <v>1619.1370661620381</v>
      </c>
      <c r="H358">
        <v>0</v>
      </c>
      <c r="I358">
        <v>0.6</v>
      </c>
      <c r="J358" t="b">
        <v>1</v>
      </c>
      <c r="K358">
        <v>1E+19</v>
      </c>
      <c r="L358">
        <v>0.3</v>
      </c>
      <c r="M358" t="b">
        <v>1</v>
      </c>
      <c r="N358">
        <v>100000000000</v>
      </c>
      <c r="O358">
        <v>0.36365994463907558</v>
      </c>
      <c r="P358">
        <v>0.18278719899603091</v>
      </c>
      <c r="Q358">
        <v>0.124969934682142</v>
      </c>
      <c r="R358" t="s">
        <v>741</v>
      </c>
      <c r="S358" t="s">
        <v>742</v>
      </c>
      <c r="T358">
        <v>1.289935148733321</v>
      </c>
      <c r="U358">
        <v>224.36179307858669</v>
      </c>
      <c r="V358">
        <v>200.58333718118459</v>
      </c>
    </row>
    <row r="359" spans="1:22" hidden="1" x14ac:dyDescent="0.2">
      <c r="A359" t="s">
        <v>500</v>
      </c>
      <c r="B359" t="s">
        <v>61</v>
      </c>
      <c r="C359">
        <v>2.9</v>
      </c>
      <c r="D359">
        <v>70</v>
      </c>
      <c r="E359">
        <v>7.183816283601498</v>
      </c>
      <c r="F359">
        <v>6.5050921964583326</v>
      </c>
      <c r="G359">
        <v>1619.1370661620381</v>
      </c>
      <c r="H359">
        <v>0</v>
      </c>
      <c r="I359">
        <v>0.6</v>
      </c>
      <c r="J359" t="b">
        <v>1</v>
      </c>
      <c r="K359">
        <v>1E+18</v>
      </c>
      <c r="L359">
        <v>0.3</v>
      </c>
      <c r="M359" t="b">
        <v>1</v>
      </c>
      <c r="N359">
        <v>100000000000</v>
      </c>
      <c r="O359">
        <v>0.36365994463907558</v>
      </c>
      <c r="P359">
        <v>0.18278719899603091</v>
      </c>
      <c r="Q359">
        <v>0.124969934682142</v>
      </c>
      <c r="R359" t="s">
        <v>743</v>
      </c>
      <c r="S359" t="s">
        <v>744</v>
      </c>
      <c r="T359">
        <v>1.289935148733321</v>
      </c>
      <c r="U359">
        <v>277.23417944790009</v>
      </c>
      <c r="V359">
        <v>200.58333718118459</v>
      </c>
    </row>
    <row r="360" spans="1:22" hidden="1" x14ac:dyDescent="0.2">
      <c r="A360" t="s">
        <v>500</v>
      </c>
      <c r="B360" t="s">
        <v>61</v>
      </c>
      <c r="C360">
        <v>2.9</v>
      </c>
      <c r="D360">
        <v>65</v>
      </c>
      <c r="E360">
        <v>7.1803436227995352</v>
      </c>
      <c r="F360">
        <v>6.5063124799403544</v>
      </c>
      <c r="G360">
        <v>1615.517059843269</v>
      </c>
      <c r="H360">
        <v>0</v>
      </c>
      <c r="I360">
        <v>0.6</v>
      </c>
      <c r="J360" t="b">
        <v>1</v>
      </c>
      <c r="K360">
        <v>1E+19</v>
      </c>
      <c r="L360">
        <v>0.3</v>
      </c>
      <c r="M360" t="b">
        <v>1</v>
      </c>
      <c r="N360">
        <v>100000000000</v>
      </c>
      <c r="O360">
        <v>0.3639177801287527</v>
      </c>
      <c r="P360">
        <v>0.18234080634463509</v>
      </c>
      <c r="Q360">
        <v>0.1246816554267904</v>
      </c>
      <c r="R360" t="s">
        <v>745</v>
      </c>
      <c r="S360" t="s">
        <v>746</v>
      </c>
      <c r="T360">
        <v>1.289935148733321</v>
      </c>
      <c r="U360">
        <v>224.347208849298</v>
      </c>
      <c r="V360">
        <v>200.6426591123379</v>
      </c>
    </row>
    <row r="361" spans="1:22" hidden="1" x14ac:dyDescent="0.2">
      <c r="A361" t="s">
        <v>500</v>
      </c>
      <c r="B361" t="s">
        <v>61</v>
      </c>
      <c r="C361">
        <v>2.9</v>
      </c>
      <c r="D361">
        <v>65</v>
      </c>
      <c r="E361">
        <v>7.1803436227995352</v>
      </c>
      <c r="F361">
        <v>6.5063124799403544</v>
      </c>
      <c r="G361">
        <v>1615.517059843269</v>
      </c>
      <c r="H361">
        <v>0</v>
      </c>
      <c r="I361">
        <v>0.6</v>
      </c>
      <c r="J361" t="b">
        <v>1</v>
      </c>
      <c r="K361">
        <v>1E+18</v>
      </c>
      <c r="L361">
        <v>0.3</v>
      </c>
      <c r="M361" t="b">
        <v>1</v>
      </c>
      <c r="N361">
        <v>100000000000</v>
      </c>
      <c r="O361">
        <v>0.3639177801287527</v>
      </c>
      <c r="P361">
        <v>0.18234080634463509</v>
      </c>
      <c r="Q361">
        <v>0.1246816554267904</v>
      </c>
      <c r="R361" t="s">
        <v>747</v>
      </c>
      <c r="S361" t="s">
        <v>748</v>
      </c>
      <c r="T361">
        <v>1.289935148733321</v>
      </c>
      <c r="U361">
        <v>279.61073452017871</v>
      </c>
      <c r="V361">
        <v>200.6426591123379</v>
      </c>
    </row>
    <row r="362" spans="1:22" hidden="1" x14ac:dyDescent="0.2">
      <c r="A362" t="s">
        <v>500</v>
      </c>
      <c r="B362" t="s">
        <v>61</v>
      </c>
      <c r="C362">
        <v>2.9</v>
      </c>
      <c r="D362">
        <v>60</v>
      </c>
      <c r="E362">
        <v>7.1827441902831461</v>
      </c>
      <c r="F362">
        <v>6.5077218472140581</v>
      </c>
      <c r="G362">
        <v>1611.5445191670301</v>
      </c>
      <c r="H362">
        <v>0</v>
      </c>
      <c r="I362">
        <v>0.6</v>
      </c>
      <c r="J362" t="b">
        <v>1</v>
      </c>
      <c r="K362">
        <v>1E+19</v>
      </c>
      <c r="L362">
        <v>0.3</v>
      </c>
      <c r="M362" t="b">
        <v>1</v>
      </c>
      <c r="N362">
        <v>100000000000</v>
      </c>
      <c r="O362">
        <v>0.36417049898505072</v>
      </c>
      <c r="P362">
        <v>0.18191201731478249</v>
      </c>
      <c r="Q362">
        <v>0.1243522608918675</v>
      </c>
      <c r="R362" t="s">
        <v>749</v>
      </c>
      <c r="S362" t="s">
        <v>750</v>
      </c>
      <c r="T362">
        <v>1.289935148733321</v>
      </c>
      <c r="U362">
        <v>224.29863816226089</v>
      </c>
      <c r="V362">
        <v>200.7041512488658</v>
      </c>
    </row>
    <row r="363" spans="1:22" hidden="1" x14ac:dyDescent="0.2">
      <c r="A363" t="s">
        <v>500</v>
      </c>
      <c r="B363" t="s">
        <v>61</v>
      </c>
      <c r="C363">
        <v>2.9</v>
      </c>
      <c r="D363">
        <v>60</v>
      </c>
      <c r="E363">
        <v>7.1827441902831461</v>
      </c>
      <c r="F363">
        <v>6.5077218472140581</v>
      </c>
      <c r="G363">
        <v>1611.5445191670301</v>
      </c>
      <c r="H363">
        <v>0</v>
      </c>
      <c r="I363">
        <v>0.6</v>
      </c>
      <c r="J363" t="b">
        <v>1</v>
      </c>
      <c r="K363">
        <v>1E+18</v>
      </c>
      <c r="L363">
        <v>0.3</v>
      </c>
      <c r="M363" t="b">
        <v>1</v>
      </c>
      <c r="N363">
        <v>100000000000</v>
      </c>
      <c r="O363">
        <v>0.36417049898505072</v>
      </c>
      <c r="P363">
        <v>0.18191201731478249</v>
      </c>
      <c r="Q363">
        <v>0.1243522608918675</v>
      </c>
      <c r="R363" t="s">
        <v>751</v>
      </c>
      <c r="S363" t="s">
        <v>752</v>
      </c>
      <c r="T363">
        <v>1.289935148733321</v>
      </c>
      <c r="U363">
        <v>276.75690033661277</v>
      </c>
      <c r="V363">
        <v>200.7041512488658</v>
      </c>
    </row>
    <row r="364" spans="1:22" hidden="1" x14ac:dyDescent="0.2">
      <c r="A364" t="s">
        <v>500</v>
      </c>
      <c r="B364" t="s">
        <v>61</v>
      </c>
      <c r="C364">
        <v>2.9</v>
      </c>
      <c r="D364">
        <v>55</v>
      </c>
      <c r="E364">
        <v>7.1792538375108004</v>
      </c>
      <c r="F364">
        <v>6.5089312935732089</v>
      </c>
      <c r="G364">
        <v>1607.895050058582</v>
      </c>
      <c r="H364">
        <v>0</v>
      </c>
      <c r="I364">
        <v>0.6</v>
      </c>
      <c r="J364" t="b">
        <v>1</v>
      </c>
      <c r="K364">
        <v>1E+19</v>
      </c>
      <c r="L364">
        <v>0.3</v>
      </c>
      <c r="M364" t="b">
        <v>1</v>
      </c>
      <c r="N364">
        <v>100000000000</v>
      </c>
      <c r="O364">
        <v>0.36443086409826742</v>
      </c>
      <c r="P364">
        <v>0.18146318467552541</v>
      </c>
      <c r="Q364">
        <v>0.1240643394016596</v>
      </c>
      <c r="R364" t="s">
        <v>753</v>
      </c>
      <c r="S364" t="s">
        <v>754</v>
      </c>
      <c r="T364">
        <v>1.289935148733321</v>
      </c>
      <c r="U364">
        <v>224.27548814626539</v>
      </c>
      <c r="V364">
        <v>200.76234249003289</v>
      </c>
    </row>
    <row r="365" spans="1:22" hidden="1" x14ac:dyDescent="0.2">
      <c r="A365" t="s">
        <v>500</v>
      </c>
      <c r="B365" t="s">
        <v>61</v>
      </c>
      <c r="C365">
        <v>2.9</v>
      </c>
      <c r="D365">
        <v>55</v>
      </c>
      <c r="E365">
        <v>7.1792538375108004</v>
      </c>
      <c r="F365">
        <v>6.5089312935732089</v>
      </c>
      <c r="G365">
        <v>1607.895050058582</v>
      </c>
      <c r="H365">
        <v>0</v>
      </c>
      <c r="I365">
        <v>0.6</v>
      </c>
      <c r="J365" t="b">
        <v>1</v>
      </c>
      <c r="K365">
        <v>1E+18</v>
      </c>
      <c r="L365">
        <v>0.3</v>
      </c>
      <c r="M365" t="b">
        <v>1</v>
      </c>
      <c r="N365">
        <v>100000000000</v>
      </c>
      <c r="O365">
        <v>0.36443086409826742</v>
      </c>
      <c r="P365">
        <v>0.18146318467552541</v>
      </c>
      <c r="Q365">
        <v>0.1240643394016596</v>
      </c>
      <c r="R365" t="s">
        <v>755</v>
      </c>
      <c r="S365" t="s">
        <v>756</v>
      </c>
      <c r="T365">
        <v>1.289935148733321</v>
      </c>
      <c r="U365">
        <v>277.9448142841149</v>
      </c>
      <c r="V365">
        <v>200.76234249003289</v>
      </c>
    </row>
    <row r="366" spans="1:22" hidden="1" x14ac:dyDescent="0.2">
      <c r="A366" t="s">
        <v>500</v>
      </c>
      <c r="B366" t="s">
        <v>61</v>
      </c>
      <c r="C366">
        <v>3</v>
      </c>
      <c r="D366">
        <v>70</v>
      </c>
      <c r="E366">
        <v>7.1790246031196876</v>
      </c>
      <c r="F366">
        <v>6.5089482312865163</v>
      </c>
      <c r="G366">
        <v>1607.6976239846369</v>
      </c>
      <c r="H366">
        <v>0</v>
      </c>
      <c r="I366">
        <v>0.6</v>
      </c>
      <c r="J366" t="b">
        <v>1</v>
      </c>
      <c r="K366">
        <v>1E+19</v>
      </c>
      <c r="L366">
        <v>0.3</v>
      </c>
      <c r="M366" t="b">
        <v>1</v>
      </c>
      <c r="N366">
        <v>100000000000</v>
      </c>
      <c r="O366">
        <v>0.36446382059731169</v>
      </c>
      <c r="P366">
        <v>0.18144145389687241</v>
      </c>
      <c r="Q366">
        <v>0.1240717581809114</v>
      </c>
      <c r="R366" t="s">
        <v>757</v>
      </c>
      <c r="S366" t="s">
        <v>758</v>
      </c>
      <c r="T366">
        <v>1.289935148733321</v>
      </c>
      <c r="U366">
        <v>224.18302050176149</v>
      </c>
      <c r="V366">
        <v>200.76948798043529</v>
      </c>
    </row>
    <row r="367" spans="1:22" hidden="1" x14ac:dyDescent="0.2">
      <c r="A367" t="s">
        <v>500</v>
      </c>
      <c r="B367" t="s">
        <v>61</v>
      </c>
      <c r="C367">
        <v>3</v>
      </c>
      <c r="D367">
        <v>70</v>
      </c>
      <c r="E367">
        <v>7.1790246031196876</v>
      </c>
      <c r="F367">
        <v>6.5089482312865163</v>
      </c>
      <c r="G367">
        <v>1607.6976239846369</v>
      </c>
      <c r="H367">
        <v>0</v>
      </c>
      <c r="I367">
        <v>0.6</v>
      </c>
      <c r="J367" t="b">
        <v>1</v>
      </c>
      <c r="K367">
        <v>1E+18</v>
      </c>
      <c r="L367">
        <v>0.3</v>
      </c>
      <c r="M367" t="b">
        <v>1</v>
      </c>
      <c r="N367">
        <v>100000000000</v>
      </c>
      <c r="O367">
        <v>0.36446382059731169</v>
      </c>
      <c r="P367">
        <v>0.18144145389687241</v>
      </c>
      <c r="Q367">
        <v>0.1240717581809114</v>
      </c>
      <c r="R367" t="s">
        <v>759</v>
      </c>
      <c r="S367" t="s">
        <v>760</v>
      </c>
      <c r="T367">
        <v>1.289935148733321</v>
      </c>
      <c r="U367">
        <v>277.67913835942159</v>
      </c>
      <c r="V367">
        <v>200.76948798043529</v>
      </c>
    </row>
    <row r="368" spans="1:22" hidden="1" x14ac:dyDescent="0.2">
      <c r="A368" t="s">
        <v>500</v>
      </c>
      <c r="B368" t="s">
        <v>61</v>
      </c>
      <c r="C368">
        <v>2.7</v>
      </c>
      <c r="D368">
        <v>45</v>
      </c>
      <c r="E368">
        <v>7.3694984043894536</v>
      </c>
      <c r="F368">
        <v>6.7069319130990808</v>
      </c>
      <c r="G368">
        <v>1577.847809454413</v>
      </c>
      <c r="H368">
        <v>0</v>
      </c>
      <c r="I368">
        <v>0.5</v>
      </c>
      <c r="J368" t="b">
        <v>1</v>
      </c>
      <c r="K368">
        <v>1E+18</v>
      </c>
      <c r="L368">
        <v>0.3</v>
      </c>
      <c r="M368" t="b">
        <v>1</v>
      </c>
      <c r="N368">
        <v>100000000000</v>
      </c>
      <c r="O368">
        <v>0.36361592249542168</v>
      </c>
      <c r="P368">
        <v>0.1785330027849821</v>
      </c>
      <c r="Q368">
        <v>0.12017841080899611</v>
      </c>
      <c r="R368" t="s">
        <v>761</v>
      </c>
      <c r="S368" t="s">
        <v>762</v>
      </c>
      <c r="T368">
        <v>1.289935148733321</v>
      </c>
      <c r="U368">
        <v>269.26586939705447</v>
      </c>
      <c r="V368">
        <v>200.6941094604544</v>
      </c>
    </row>
    <row r="369" spans="1:26" hidden="1" x14ac:dyDescent="0.2">
      <c r="A369" t="s">
        <v>500</v>
      </c>
      <c r="B369" t="s">
        <v>61</v>
      </c>
      <c r="C369">
        <v>2.7</v>
      </c>
      <c r="D369">
        <v>40</v>
      </c>
      <c r="E369">
        <v>7.3703502532644762</v>
      </c>
      <c r="F369">
        <v>6.7086510529204011</v>
      </c>
      <c r="G369">
        <v>1572.4346269554969</v>
      </c>
      <c r="H369">
        <v>0</v>
      </c>
      <c r="I369">
        <v>0.5</v>
      </c>
      <c r="J369" t="b">
        <v>1</v>
      </c>
      <c r="K369">
        <v>1E+18</v>
      </c>
      <c r="L369">
        <v>0.3</v>
      </c>
      <c r="M369" t="b">
        <v>1</v>
      </c>
      <c r="N369">
        <v>100000000000</v>
      </c>
      <c r="O369">
        <v>0.36399191625883992</v>
      </c>
      <c r="P369">
        <v>0.177934582689909</v>
      </c>
      <c r="Q369">
        <v>0.11976612198962309</v>
      </c>
      <c r="R369" t="s">
        <v>763</v>
      </c>
      <c r="S369" t="s">
        <v>764</v>
      </c>
      <c r="T369">
        <v>1.289935148733321</v>
      </c>
      <c r="U369">
        <v>270.01532497980781</v>
      </c>
      <c r="V369">
        <v>200.7737086156254</v>
      </c>
    </row>
    <row r="370" spans="1:26" hidden="1" x14ac:dyDescent="0.2">
      <c r="A370" t="s">
        <v>500</v>
      </c>
      <c r="B370" t="s">
        <v>61</v>
      </c>
      <c r="C370">
        <v>2.7</v>
      </c>
      <c r="D370">
        <v>35</v>
      </c>
      <c r="E370">
        <v>7.3651126914968748</v>
      </c>
      <c r="F370">
        <v>6.7101731858929892</v>
      </c>
      <c r="G370">
        <v>1567.3237150007401</v>
      </c>
      <c r="H370">
        <v>0</v>
      </c>
      <c r="I370">
        <v>0.5</v>
      </c>
      <c r="J370" t="b">
        <v>1</v>
      </c>
      <c r="K370">
        <v>1E+18</v>
      </c>
      <c r="L370">
        <v>0.3</v>
      </c>
      <c r="M370" t="b">
        <v>1</v>
      </c>
      <c r="N370">
        <v>100000000000</v>
      </c>
      <c r="O370">
        <v>0.3643766007495271</v>
      </c>
      <c r="P370">
        <v>0.1773103449365416</v>
      </c>
      <c r="Q370">
        <v>0.11939157287208341</v>
      </c>
      <c r="R370" t="s">
        <v>765</v>
      </c>
      <c r="S370" t="s">
        <v>766</v>
      </c>
      <c r="T370">
        <v>1.289935148733321</v>
      </c>
      <c r="U370">
        <v>271.18627553251048</v>
      </c>
      <c r="V370">
        <v>200.84967125390199</v>
      </c>
    </row>
    <row r="371" spans="1:26" hidden="1" x14ac:dyDescent="0.2">
      <c r="A371" t="s">
        <v>500</v>
      </c>
      <c r="B371" t="s">
        <v>61</v>
      </c>
      <c r="C371">
        <v>2.8</v>
      </c>
      <c r="D371">
        <v>55</v>
      </c>
      <c r="E371">
        <v>7.3711056282362311</v>
      </c>
      <c r="F371">
        <v>6.7064171020600272</v>
      </c>
      <c r="G371">
        <v>1579.4401780543931</v>
      </c>
      <c r="H371">
        <v>0</v>
      </c>
      <c r="I371">
        <v>0.5</v>
      </c>
      <c r="J371" t="b">
        <v>1</v>
      </c>
      <c r="K371">
        <v>1E+18</v>
      </c>
      <c r="L371">
        <v>0.3</v>
      </c>
      <c r="M371" t="b">
        <v>1</v>
      </c>
      <c r="N371">
        <v>100000000000</v>
      </c>
      <c r="O371">
        <v>0.36350863299074798</v>
      </c>
      <c r="P371">
        <v>0.178729589390727</v>
      </c>
      <c r="Q371">
        <v>0.12027975993919091</v>
      </c>
      <c r="R371" t="s">
        <v>767</v>
      </c>
      <c r="S371" t="s">
        <v>768</v>
      </c>
      <c r="T371">
        <v>1.289935148733321</v>
      </c>
      <c r="U371">
        <v>272.7002184969711</v>
      </c>
      <c r="V371">
        <v>200.666849452126</v>
      </c>
    </row>
    <row r="372" spans="1:26" hidden="1" x14ac:dyDescent="0.2">
      <c r="A372" t="s">
        <v>500</v>
      </c>
      <c r="B372" t="s">
        <v>61</v>
      </c>
      <c r="C372">
        <v>2.8</v>
      </c>
      <c r="D372">
        <v>50</v>
      </c>
      <c r="E372">
        <v>7.3727825261550706</v>
      </c>
      <c r="F372">
        <v>6.7079082329802704</v>
      </c>
      <c r="G372">
        <v>1574.8079659561749</v>
      </c>
      <c r="H372">
        <v>0</v>
      </c>
      <c r="I372">
        <v>0.5</v>
      </c>
      <c r="J372" t="b">
        <v>1</v>
      </c>
      <c r="K372">
        <v>1E+18</v>
      </c>
      <c r="L372">
        <v>0.3</v>
      </c>
      <c r="M372" t="b">
        <v>1</v>
      </c>
      <c r="N372">
        <v>100000000000</v>
      </c>
      <c r="O372">
        <v>0.36382364981963622</v>
      </c>
      <c r="P372">
        <v>0.1782262029741298</v>
      </c>
      <c r="Q372">
        <v>0.1199314378145144</v>
      </c>
      <c r="R372" t="s">
        <v>769</v>
      </c>
      <c r="S372" t="s">
        <v>770</v>
      </c>
      <c r="T372">
        <v>1.289935148733321</v>
      </c>
      <c r="U372">
        <v>269.26474619592449</v>
      </c>
      <c r="V372">
        <v>200.7363603722896</v>
      </c>
    </row>
    <row r="373" spans="1:26" hidden="1" x14ac:dyDescent="0.2">
      <c r="A373" t="s">
        <v>500</v>
      </c>
      <c r="B373" t="s">
        <v>61</v>
      </c>
      <c r="C373">
        <v>2.8</v>
      </c>
      <c r="D373">
        <v>45</v>
      </c>
      <c r="E373">
        <v>7.3683406023129763</v>
      </c>
      <c r="F373">
        <v>6.7092112951830432</v>
      </c>
      <c r="G373">
        <v>1570.4900387690709</v>
      </c>
      <c r="H373">
        <v>0</v>
      </c>
      <c r="I373">
        <v>0.5</v>
      </c>
      <c r="J373" t="b">
        <v>1</v>
      </c>
      <c r="K373">
        <v>1E+18</v>
      </c>
      <c r="L373">
        <v>0.3</v>
      </c>
      <c r="M373" t="b">
        <v>1</v>
      </c>
      <c r="N373">
        <v>100000000000</v>
      </c>
      <c r="O373">
        <v>0.36414684560562249</v>
      </c>
      <c r="P373">
        <v>0.17769811291489659</v>
      </c>
      <c r="Q373">
        <v>0.1196349776224637</v>
      </c>
      <c r="R373" t="s">
        <v>771</v>
      </c>
      <c r="S373" t="s">
        <v>772</v>
      </c>
      <c r="T373">
        <v>1.289935148733321</v>
      </c>
      <c r="U373">
        <v>269.90080966093433</v>
      </c>
      <c r="V373">
        <v>200.80480461508731</v>
      </c>
    </row>
    <row r="374" spans="1:26" hidden="1" x14ac:dyDescent="0.2">
      <c r="A374" t="s">
        <v>500</v>
      </c>
      <c r="B374" t="s">
        <v>61</v>
      </c>
      <c r="C374">
        <v>2.8</v>
      </c>
      <c r="D374">
        <v>40</v>
      </c>
      <c r="E374">
        <v>7.3638762216501688</v>
      </c>
      <c r="F374">
        <v>6.7105071831111127</v>
      </c>
      <c r="G374">
        <v>1566.148582390294</v>
      </c>
      <c r="H374">
        <v>0</v>
      </c>
      <c r="I374">
        <v>0.5</v>
      </c>
      <c r="J374" t="b">
        <v>1</v>
      </c>
      <c r="K374">
        <v>1E+18</v>
      </c>
      <c r="L374">
        <v>0.3</v>
      </c>
      <c r="M374" t="b">
        <v>1</v>
      </c>
      <c r="N374">
        <v>100000000000</v>
      </c>
      <c r="O374">
        <v>0.36447180363646098</v>
      </c>
      <c r="P374">
        <v>0.17716760304346621</v>
      </c>
      <c r="Q374">
        <v>0.1193150246682502</v>
      </c>
      <c r="R374" t="s">
        <v>773</v>
      </c>
      <c r="S374" t="s">
        <v>774</v>
      </c>
      <c r="T374">
        <v>1.289935148733321</v>
      </c>
      <c r="U374">
        <v>272.37896834351181</v>
      </c>
      <c r="V374">
        <v>200.8685336639798</v>
      </c>
    </row>
    <row r="375" spans="1:26" hidden="1" x14ac:dyDescent="0.2">
      <c r="A375" t="s">
        <v>500</v>
      </c>
      <c r="B375" t="s">
        <v>61</v>
      </c>
      <c r="C375">
        <v>2.9</v>
      </c>
      <c r="D375">
        <v>65</v>
      </c>
      <c r="E375">
        <v>7.369588024000806</v>
      </c>
      <c r="F375">
        <v>6.70681732682465</v>
      </c>
      <c r="G375">
        <v>1577.9894136482301</v>
      </c>
      <c r="H375">
        <v>0</v>
      </c>
      <c r="I375">
        <v>0.5</v>
      </c>
      <c r="J375" t="b">
        <v>1</v>
      </c>
      <c r="K375">
        <v>1E+18</v>
      </c>
      <c r="L375">
        <v>0.3</v>
      </c>
      <c r="M375" t="b">
        <v>1</v>
      </c>
      <c r="N375">
        <v>100000000000</v>
      </c>
      <c r="O375">
        <v>0.3636342150644184</v>
      </c>
      <c r="P375">
        <v>0.1785541759261364</v>
      </c>
      <c r="Q375">
        <v>0.12018130381957939</v>
      </c>
      <c r="R375" t="s">
        <v>775</v>
      </c>
      <c r="S375" t="s">
        <v>776</v>
      </c>
      <c r="T375">
        <v>1.289935148733321</v>
      </c>
      <c r="U375">
        <v>270.53438914542329</v>
      </c>
      <c r="V375">
        <v>200.6907281584906</v>
      </c>
    </row>
    <row r="376" spans="1:26" hidden="1" x14ac:dyDescent="0.2">
      <c r="A376" t="s">
        <v>500</v>
      </c>
      <c r="B376" t="s">
        <v>61</v>
      </c>
      <c r="C376">
        <v>2.9</v>
      </c>
      <c r="D376">
        <v>60</v>
      </c>
      <c r="E376">
        <v>7.372035187833835</v>
      </c>
      <c r="F376">
        <v>6.7080837730793981</v>
      </c>
      <c r="G376">
        <v>1574.1115839163399</v>
      </c>
      <c r="H376">
        <v>0</v>
      </c>
      <c r="I376">
        <v>0.5</v>
      </c>
      <c r="J376" t="b">
        <v>1</v>
      </c>
      <c r="K376">
        <v>1E+18</v>
      </c>
      <c r="L376">
        <v>0.3</v>
      </c>
      <c r="M376" t="b">
        <v>1</v>
      </c>
      <c r="N376">
        <v>100000000000</v>
      </c>
      <c r="O376">
        <v>0.36389033803957971</v>
      </c>
      <c r="P376">
        <v>0.1781429048410802</v>
      </c>
      <c r="Q376">
        <v>0.11989685678387541</v>
      </c>
      <c r="R376" t="s">
        <v>777</v>
      </c>
      <c r="S376" t="s">
        <v>778</v>
      </c>
      <c r="T376">
        <v>1.289935148733321</v>
      </c>
      <c r="U376">
        <v>270.22500196605</v>
      </c>
      <c r="V376">
        <v>200.74980248617931</v>
      </c>
    </row>
    <row r="377" spans="1:26" hidden="1" x14ac:dyDescent="0.2">
      <c r="A377" t="s">
        <v>500</v>
      </c>
      <c r="B377" t="s">
        <v>61</v>
      </c>
      <c r="C377">
        <v>2.9</v>
      </c>
      <c r="D377">
        <v>55</v>
      </c>
      <c r="E377">
        <v>7.3683873280503374</v>
      </c>
      <c r="F377">
        <v>6.7091608444327813</v>
      </c>
      <c r="G377">
        <v>1570.557665470868</v>
      </c>
      <c r="H377">
        <v>0</v>
      </c>
      <c r="I377">
        <v>0.5</v>
      </c>
      <c r="J377" t="b">
        <v>1</v>
      </c>
      <c r="K377">
        <v>1E+18</v>
      </c>
      <c r="L377">
        <v>0.3</v>
      </c>
      <c r="M377" t="b">
        <v>1</v>
      </c>
      <c r="N377">
        <v>100000000000</v>
      </c>
      <c r="O377">
        <v>0.36415398601297361</v>
      </c>
      <c r="P377">
        <v>0.17770800050275559</v>
      </c>
      <c r="Q377">
        <v>0.1196582499398557</v>
      </c>
      <c r="R377" t="s">
        <v>779</v>
      </c>
      <c r="S377" t="s">
        <v>780</v>
      </c>
      <c r="T377">
        <v>1.289935148733321</v>
      </c>
      <c r="U377">
        <v>271.64231435444549</v>
      </c>
      <c r="V377">
        <v>200.80697588638171</v>
      </c>
    </row>
    <row r="378" spans="1:26" hidden="1" x14ac:dyDescent="0.2">
      <c r="A378" t="s">
        <v>500</v>
      </c>
      <c r="B378" t="s">
        <v>61</v>
      </c>
      <c r="C378">
        <v>2.9</v>
      </c>
      <c r="D378">
        <v>50</v>
      </c>
      <c r="E378">
        <v>7.3647324863219508</v>
      </c>
      <c r="F378">
        <v>6.7102302650107228</v>
      </c>
      <c r="G378">
        <v>1566.9897974672331</v>
      </c>
      <c r="H378">
        <v>0</v>
      </c>
      <c r="I378">
        <v>0.5</v>
      </c>
      <c r="J378" t="b">
        <v>1</v>
      </c>
      <c r="K378">
        <v>1E+18</v>
      </c>
      <c r="L378">
        <v>0.3</v>
      </c>
      <c r="M378" t="b">
        <v>1</v>
      </c>
      <c r="N378">
        <v>100000000000</v>
      </c>
      <c r="O378">
        <v>0.36441893158350958</v>
      </c>
      <c r="P378">
        <v>0.17727178123791049</v>
      </c>
      <c r="Q378">
        <v>0.1193872741708777</v>
      </c>
      <c r="R378" t="s">
        <v>781</v>
      </c>
      <c r="S378" t="s">
        <v>782</v>
      </c>
      <c r="T378">
        <v>1.289935148733321</v>
      </c>
      <c r="U378">
        <v>269.66794251125862</v>
      </c>
      <c r="V378">
        <v>200.85808112126239</v>
      </c>
    </row>
    <row r="379" spans="1:26" hidden="1" x14ac:dyDescent="0.2">
      <c r="A379" t="s">
        <v>500</v>
      </c>
      <c r="B379" t="s">
        <v>61</v>
      </c>
      <c r="C379">
        <v>3</v>
      </c>
      <c r="D379">
        <v>70</v>
      </c>
      <c r="E379">
        <v>7.3681551334018716</v>
      </c>
      <c r="F379">
        <v>6.7091720802861428</v>
      </c>
      <c r="G379">
        <v>1570.3647775873469</v>
      </c>
      <c r="H379">
        <v>0</v>
      </c>
      <c r="I379">
        <v>0.5</v>
      </c>
      <c r="J379" t="b">
        <v>1</v>
      </c>
      <c r="K379">
        <v>1E+18</v>
      </c>
      <c r="L379">
        <v>0.3</v>
      </c>
      <c r="M379" t="b">
        <v>1</v>
      </c>
      <c r="N379">
        <v>100000000000</v>
      </c>
      <c r="O379">
        <v>0.36418711343743049</v>
      </c>
      <c r="P379">
        <v>0.17768692344970971</v>
      </c>
      <c r="Q379">
        <v>0.11964883510084311</v>
      </c>
      <c r="R379" t="s">
        <v>783</v>
      </c>
      <c r="S379" t="s">
        <v>784</v>
      </c>
      <c r="T379">
        <v>1.289935148733321</v>
      </c>
      <c r="U379">
        <v>271.43962890879789</v>
      </c>
      <c r="V379">
        <v>200.81071668909459</v>
      </c>
    </row>
    <row r="380" spans="1:26" hidden="1" x14ac:dyDescent="0.2">
      <c r="A380" t="s">
        <v>500</v>
      </c>
      <c r="B380" t="s">
        <v>61</v>
      </c>
      <c r="C380">
        <v>3</v>
      </c>
      <c r="D380">
        <v>65</v>
      </c>
      <c r="E380">
        <v>7.3652870144653049</v>
      </c>
      <c r="F380">
        <v>6.7100202500335566</v>
      </c>
      <c r="G380">
        <v>1567.555653776031</v>
      </c>
      <c r="H380">
        <v>0</v>
      </c>
      <c r="I380">
        <v>0.5</v>
      </c>
      <c r="J380" t="b">
        <v>1</v>
      </c>
      <c r="K380">
        <v>1E+18</v>
      </c>
      <c r="L380">
        <v>0.3</v>
      </c>
      <c r="M380" t="b">
        <v>1</v>
      </c>
      <c r="N380">
        <v>100000000000</v>
      </c>
      <c r="O380">
        <v>0.36439313255751932</v>
      </c>
      <c r="P380">
        <v>0.17734314719280239</v>
      </c>
      <c r="Q380">
        <v>0.11944599703359041</v>
      </c>
      <c r="R380" t="s">
        <v>785</v>
      </c>
      <c r="S380" t="s">
        <v>786</v>
      </c>
      <c r="T380">
        <v>1.289935148733321</v>
      </c>
      <c r="U380">
        <v>270.15439784976229</v>
      </c>
      <c r="V380">
        <v>200.85278723742849</v>
      </c>
    </row>
    <row r="381" spans="1:26" hidden="1" x14ac:dyDescent="0.2">
      <c r="A381" t="s">
        <v>500</v>
      </c>
      <c r="B381" t="s">
        <v>61</v>
      </c>
      <c r="C381">
        <v>3</v>
      </c>
      <c r="D381">
        <v>60</v>
      </c>
      <c r="E381">
        <v>7.3623867813921224</v>
      </c>
      <c r="F381">
        <v>6.7108675121594921</v>
      </c>
      <c r="G381">
        <v>1564.741664113373</v>
      </c>
      <c r="H381">
        <v>0</v>
      </c>
      <c r="I381">
        <v>0.5</v>
      </c>
      <c r="J381" t="b">
        <v>1</v>
      </c>
      <c r="K381">
        <v>1E+18</v>
      </c>
      <c r="L381">
        <v>0.3</v>
      </c>
      <c r="M381" t="b">
        <v>1</v>
      </c>
      <c r="N381">
        <v>100000000000</v>
      </c>
      <c r="O381">
        <v>0.3645999097621897</v>
      </c>
      <c r="P381">
        <v>0.1769987703724219</v>
      </c>
      <c r="Q381">
        <v>0.1192438332539183</v>
      </c>
      <c r="R381" t="s">
        <v>787</v>
      </c>
      <c r="S381" t="s">
        <v>788</v>
      </c>
      <c r="T381">
        <v>1.289935148733321</v>
      </c>
      <c r="U381">
        <v>269.92008490410569</v>
      </c>
      <c r="V381">
        <v>200.89454408391819</v>
      </c>
    </row>
    <row r="382" spans="1:26" x14ac:dyDescent="0.2">
      <c r="A382" t="s">
        <v>829</v>
      </c>
      <c r="B382" t="s">
        <v>181</v>
      </c>
      <c r="C382">
        <v>2.7</v>
      </c>
      <c r="D382">
        <v>70</v>
      </c>
      <c r="E382">
        <v>6.6883855947930906</v>
      </c>
      <c r="F382">
        <v>5.9768534059992708</v>
      </c>
      <c r="G382">
        <v>1732.0814042017751</v>
      </c>
      <c r="H382">
        <v>0</v>
      </c>
      <c r="I382">
        <v>1</v>
      </c>
      <c r="J382" t="b">
        <v>1</v>
      </c>
      <c r="K382">
        <v>1E+21</v>
      </c>
      <c r="L382">
        <v>0.3</v>
      </c>
      <c r="M382" t="b">
        <v>1</v>
      </c>
      <c r="N382">
        <v>100000000000</v>
      </c>
      <c r="O382">
        <v>0.36447237292849838</v>
      </c>
      <c r="P382">
        <v>0.19241763593936051</v>
      </c>
      <c r="Q382">
        <v>0.1353706017208256</v>
      </c>
      <c r="R382" t="s">
        <v>789</v>
      </c>
      <c r="S382" t="s">
        <v>790</v>
      </c>
      <c r="T382">
        <v>1.289935148733321</v>
      </c>
      <c r="U382">
        <v>210.22337693412621</v>
      </c>
      <c r="V382">
        <v>199.49109462028099</v>
      </c>
      <c r="W382">
        <f>VALUE(","&amp;MID(R382,4,10))</f>
        <v>0.17576424800000001</v>
      </c>
      <c r="X382">
        <f>((O382-0.364)/0.0012)^2+((W382-0.174)/0.016)^2</f>
        <v>0.16711416353062755</v>
      </c>
      <c r="Y382">
        <f>((O382-O$8)/0.0012)^2+((W382-W$8)/0.016)^2</f>
        <v>0.25968236347090734</v>
      </c>
      <c r="Z382" s="5">
        <f>Y382*100</f>
        <v>25.968236347090734</v>
      </c>
    </row>
    <row r="383" spans="1:26" hidden="1" x14ac:dyDescent="0.2">
      <c r="A383" t="s">
        <v>829</v>
      </c>
      <c r="B383" t="s">
        <v>181</v>
      </c>
      <c r="C383">
        <v>2.7</v>
      </c>
      <c r="D383">
        <v>70</v>
      </c>
      <c r="E383">
        <v>6.6883855947930906</v>
      </c>
      <c r="F383">
        <v>5.9768534059992708</v>
      </c>
      <c r="G383">
        <v>1732.0814042017751</v>
      </c>
      <c r="H383">
        <v>0</v>
      </c>
      <c r="I383">
        <v>1</v>
      </c>
      <c r="J383" t="b">
        <v>1</v>
      </c>
      <c r="K383">
        <v>1E+20</v>
      </c>
      <c r="L383">
        <v>0.3</v>
      </c>
      <c r="M383" t="b">
        <v>1</v>
      </c>
      <c r="N383">
        <v>100000000000</v>
      </c>
      <c r="O383">
        <v>0.36447237292849838</v>
      </c>
      <c r="P383">
        <v>0.19241763593936051</v>
      </c>
      <c r="Q383">
        <v>0.1353706017208256</v>
      </c>
      <c r="R383" t="s">
        <v>791</v>
      </c>
      <c r="S383" t="s">
        <v>792</v>
      </c>
      <c r="T383">
        <v>1.289935148733321</v>
      </c>
      <c r="U383">
        <v>214.61907697261779</v>
      </c>
      <c r="V383">
        <v>199.49109462028099</v>
      </c>
    </row>
    <row r="384" spans="1:26" s="4" customFormat="1" x14ac:dyDescent="0.2">
      <c r="A384" s="4" t="s">
        <v>829</v>
      </c>
      <c r="B384" s="4" t="s">
        <v>181</v>
      </c>
      <c r="C384" s="4">
        <v>2.7</v>
      </c>
      <c r="D384" s="4">
        <v>70</v>
      </c>
      <c r="E384" s="4">
        <v>6.8152638831734818</v>
      </c>
      <c r="F384" s="4">
        <v>6.1084141233627491</v>
      </c>
      <c r="G384" s="4">
        <v>1699.1991802017781</v>
      </c>
      <c r="H384" s="4">
        <v>0</v>
      </c>
      <c r="I384" s="4">
        <v>0.9</v>
      </c>
      <c r="J384" s="4" t="b">
        <v>1</v>
      </c>
      <c r="K384" s="4">
        <v>1E+21</v>
      </c>
      <c r="L384" s="4">
        <v>0.3</v>
      </c>
      <c r="M384" s="4" t="b">
        <v>1</v>
      </c>
      <c r="N384" s="4">
        <v>100000000000</v>
      </c>
      <c r="O384" s="4">
        <v>0.36420877574491167</v>
      </c>
      <c r="P384" s="4">
        <v>0.19013516645213341</v>
      </c>
      <c r="Q384" s="4">
        <v>0.13055269887928311</v>
      </c>
      <c r="R384" s="4" t="s">
        <v>793</v>
      </c>
      <c r="S384" s="4" t="s">
        <v>794</v>
      </c>
      <c r="T384" s="4">
        <v>1.289935148733321</v>
      </c>
      <c r="U384" s="4">
        <v>209.69207199703811</v>
      </c>
      <c r="V384" s="4">
        <v>199.58616228621909</v>
      </c>
      <c r="W384" s="4">
        <f>VALUE(","&amp;MID(R384,4,10))</f>
        <v>0.16883989429999999</v>
      </c>
      <c r="X384" s="4">
        <f>((O384-0.364)/0.0012)^2+((W384-0.174)/0.016)^2</f>
        <v>0.13427947750782857</v>
      </c>
      <c r="Y384" s="4">
        <f>((O384-O$8)/0.0012)^2+((W384-W$8)/0.016)^2</f>
        <v>5.5960228854238583E-3</v>
      </c>
      <c r="Z384" s="6">
        <f>Y384*100</f>
        <v>0.55960228854238581</v>
      </c>
    </row>
    <row r="385" spans="1:26" hidden="1" x14ac:dyDescent="0.2">
      <c r="A385" t="s">
        <v>829</v>
      </c>
      <c r="B385" t="s">
        <v>181</v>
      </c>
      <c r="C385">
        <v>2.7</v>
      </c>
      <c r="D385">
        <v>70</v>
      </c>
      <c r="E385">
        <v>6.8152638831734818</v>
      </c>
      <c r="F385">
        <v>6.1084141233627491</v>
      </c>
      <c r="G385">
        <v>1699.1991802017781</v>
      </c>
      <c r="H385">
        <v>0</v>
      </c>
      <c r="I385">
        <v>0.9</v>
      </c>
      <c r="J385" t="b">
        <v>1</v>
      </c>
      <c r="K385">
        <v>1E+20</v>
      </c>
      <c r="L385">
        <v>0.3</v>
      </c>
      <c r="M385" t="b">
        <v>1</v>
      </c>
      <c r="N385">
        <v>100000000000</v>
      </c>
      <c r="O385">
        <v>0.36420877574491167</v>
      </c>
      <c r="P385">
        <v>0.19013516645213341</v>
      </c>
      <c r="Q385">
        <v>0.13055269887928311</v>
      </c>
      <c r="R385" t="s">
        <v>795</v>
      </c>
      <c r="S385" t="s">
        <v>796</v>
      </c>
      <c r="T385">
        <v>1.289935148733321</v>
      </c>
      <c r="U385">
        <v>213.81621786015481</v>
      </c>
      <c r="V385">
        <v>199.58616228621909</v>
      </c>
    </row>
    <row r="386" spans="1:26" hidden="1" x14ac:dyDescent="0.2">
      <c r="A386" t="s">
        <v>829</v>
      </c>
      <c r="B386" t="s">
        <v>181</v>
      </c>
      <c r="C386">
        <v>2.7</v>
      </c>
      <c r="D386">
        <v>70</v>
      </c>
      <c r="E386">
        <v>6.8152638831734818</v>
      </c>
      <c r="F386">
        <v>6.1084141233627491</v>
      </c>
      <c r="G386">
        <v>1699.1991802017781</v>
      </c>
      <c r="H386">
        <v>0</v>
      </c>
      <c r="I386">
        <v>0.9</v>
      </c>
      <c r="J386" t="b">
        <v>1</v>
      </c>
      <c r="K386">
        <v>1E+19</v>
      </c>
      <c r="L386">
        <v>0.3</v>
      </c>
      <c r="M386" t="b">
        <v>1</v>
      </c>
      <c r="N386">
        <v>100000000000</v>
      </c>
      <c r="O386">
        <v>0.36420877574491167</v>
      </c>
      <c r="P386">
        <v>0.19013516645213341</v>
      </c>
      <c r="Q386">
        <v>0.13055269887928311</v>
      </c>
      <c r="R386" t="s">
        <v>797</v>
      </c>
      <c r="S386" t="s">
        <v>798</v>
      </c>
      <c r="T386">
        <v>1.289935148733321</v>
      </c>
      <c r="U386">
        <v>227.87440688129041</v>
      </c>
      <c r="V386">
        <v>199.58616228621909</v>
      </c>
    </row>
    <row r="387" spans="1:26" x14ac:dyDescent="0.2">
      <c r="A387" t="s">
        <v>829</v>
      </c>
      <c r="B387" t="s">
        <v>181</v>
      </c>
      <c r="C387">
        <v>2.7</v>
      </c>
      <c r="D387">
        <v>65</v>
      </c>
      <c r="E387">
        <v>6.8091051090781418</v>
      </c>
      <c r="F387">
        <v>6.1108454961136864</v>
      </c>
      <c r="G387">
        <v>1693.35143620178</v>
      </c>
      <c r="H387">
        <v>0</v>
      </c>
      <c r="I387">
        <v>0.9</v>
      </c>
      <c r="J387" t="b">
        <v>1</v>
      </c>
      <c r="K387">
        <v>1E+21</v>
      </c>
      <c r="L387">
        <v>0.3</v>
      </c>
      <c r="M387" t="b">
        <v>1</v>
      </c>
      <c r="N387">
        <v>100000000000</v>
      </c>
      <c r="O387">
        <v>0.3645888563279775</v>
      </c>
      <c r="P387">
        <v>0.18940038061009351</v>
      </c>
      <c r="Q387">
        <v>0.1299604315979532</v>
      </c>
      <c r="R387" t="s">
        <v>799</v>
      </c>
      <c r="S387" t="s">
        <v>800</v>
      </c>
      <c r="T387">
        <v>1.289935148733321</v>
      </c>
      <c r="U387">
        <v>209.71096478473689</v>
      </c>
      <c r="V387">
        <v>199.68477767736849</v>
      </c>
      <c r="W387">
        <f>VALUE(","&amp;MID(R387,4,10))</f>
        <v>0.16792625219999999</v>
      </c>
      <c r="X387">
        <f>((O387-0.364)/0.0012)^2+((W387-0.174)/0.016)^2</f>
        <v>0.38490301694474183</v>
      </c>
      <c r="Y387">
        <f>((O387-O$8)/0.0012)^2+((W387-W$8)/0.016)^2</f>
        <v>6.8115173450251795E-2</v>
      </c>
      <c r="Z387" s="5">
        <f>Y387*100</f>
        <v>6.8115173450251794</v>
      </c>
    </row>
    <row r="388" spans="1:26" hidden="1" x14ac:dyDescent="0.2">
      <c r="A388" t="s">
        <v>829</v>
      </c>
      <c r="B388" t="s">
        <v>181</v>
      </c>
      <c r="C388">
        <v>2.7</v>
      </c>
      <c r="D388">
        <v>65</v>
      </c>
      <c r="E388">
        <v>6.8091051090781418</v>
      </c>
      <c r="F388">
        <v>6.1108454961136864</v>
      </c>
      <c r="G388">
        <v>1693.35143620178</v>
      </c>
      <c r="H388">
        <v>0</v>
      </c>
      <c r="I388">
        <v>0.9</v>
      </c>
      <c r="J388" t="b">
        <v>1</v>
      </c>
      <c r="K388">
        <v>1E+20</v>
      </c>
      <c r="L388">
        <v>0.3</v>
      </c>
      <c r="M388" t="b">
        <v>1</v>
      </c>
      <c r="N388">
        <v>100000000000</v>
      </c>
      <c r="O388">
        <v>0.3645888563279775</v>
      </c>
      <c r="P388">
        <v>0.18940038061009351</v>
      </c>
      <c r="Q388">
        <v>0.1299604315979532</v>
      </c>
      <c r="R388" t="s">
        <v>801</v>
      </c>
      <c r="S388" t="s">
        <v>802</v>
      </c>
      <c r="T388">
        <v>1.289935148733321</v>
      </c>
      <c r="U388">
        <v>213.80904796436991</v>
      </c>
      <c r="V388">
        <v>199.68477767736849</v>
      </c>
    </row>
    <row r="389" spans="1:26" hidden="1" x14ac:dyDescent="0.2">
      <c r="A389" t="s">
        <v>829</v>
      </c>
      <c r="B389" t="s">
        <v>181</v>
      </c>
      <c r="C389">
        <v>2.7</v>
      </c>
      <c r="D389">
        <v>65</v>
      </c>
      <c r="E389">
        <v>6.8091051090781418</v>
      </c>
      <c r="F389">
        <v>6.1108454961136864</v>
      </c>
      <c r="G389">
        <v>1693.35143620178</v>
      </c>
      <c r="H389">
        <v>0</v>
      </c>
      <c r="I389">
        <v>0.9</v>
      </c>
      <c r="J389" t="b">
        <v>1</v>
      </c>
      <c r="K389">
        <v>1E+19</v>
      </c>
      <c r="L389">
        <v>0.3</v>
      </c>
      <c r="M389" t="b">
        <v>1</v>
      </c>
      <c r="N389">
        <v>100000000000</v>
      </c>
      <c r="O389">
        <v>0.3645888563279775</v>
      </c>
      <c r="P389">
        <v>0.18940038061009351</v>
      </c>
      <c r="Q389">
        <v>0.1299604315979532</v>
      </c>
      <c r="R389" t="s">
        <v>803</v>
      </c>
      <c r="S389" t="s">
        <v>804</v>
      </c>
      <c r="T389">
        <v>1.289935148733321</v>
      </c>
      <c r="U389">
        <v>227.75778032554419</v>
      </c>
      <c r="V389">
        <v>199.68477767736849</v>
      </c>
    </row>
    <row r="390" spans="1:26" hidden="1" x14ac:dyDescent="0.2">
      <c r="A390" t="s">
        <v>829</v>
      </c>
      <c r="B390" t="s">
        <v>181</v>
      </c>
      <c r="C390">
        <v>2.7</v>
      </c>
      <c r="D390">
        <v>70</v>
      </c>
      <c r="E390">
        <v>6.9515741404794946</v>
      </c>
      <c r="F390">
        <v>6.2534099030644006</v>
      </c>
      <c r="G390">
        <v>1665.6389722017821</v>
      </c>
      <c r="H390">
        <v>0</v>
      </c>
      <c r="I390">
        <v>0.8</v>
      </c>
      <c r="J390" t="b">
        <v>1</v>
      </c>
      <c r="K390">
        <v>1E+19</v>
      </c>
      <c r="L390">
        <v>0.3</v>
      </c>
      <c r="M390" t="b">
        <v>1</v>
      </c>
      <c r="N390">
        <v>100000000000</v>
      </c>
      <c r="O390">
        <v>0.36394748718424691</v>
      </c>
      <c r="P390">
        <v>0.18762049319778501</v>
      </c>
      <c r="Q390">
        <v>0.12587750863418409</v>
      </c>
      <c r="R390" t="s">
        <v>805</v>
      </c>
      <c r="S390" t="s">
        <v>806</v>
      </c>
      <c r="T390">
        <v>1.289935148733321</v>
      </c>
      <c r="U390">
        <v>226.09317049797599</v>
      </c>
      <c r="V390">
        <v>199.66291691878641</v>
      </c>
    </row>
    <row r="391" spans="1:26" hidden="1" x14ac:dyDescent="0.2">
      <c r="A391" t="s">
        <v>829</v>
      </c>
      <c r="B391" t="s">
        <v>181</v>
      </c>
      <c r="C391">
        <v>2.7</v>
      </c>
      <c r="D391">
        <v>65</v>
      </c>
      <c r="E391">
        <v>6.9474333855069554</v>
      </c>
      <c r="F391">
        <v>6.2557346259578148</v>
      </c>
      <c r="G391">
        <v>1659.791228201783</v>
      </c>
      <c r="H391">
        <v>0</v>
      </c>
      <c r="I391">
        <v>0.8</v>
      </c>
      <c r="J391" t="b">
        <v>1</v>
      </c>
      <c r="K391">
        <v>1E+19</v>
      </c>
      <c r="L391">
        <v>0.3</v>
      </c>
      <c r="M391" t="b">
        <v>1</v>
      </c>
      <c r="N391">
        <v>100000000000</v>
      </c>
      <c r="O391">
        <v>0.36432968248810599</v>
      </c>
      <c r="P391">
        <v>0.18690696148227359</v>
      </c>
      <c r="Q391">
        <v>0.1253284587472083</v>
      </c>
      <c r="R391" t="s">
        <v>807</v>
      </c>
      <c r="S391" t="s">
        <v>808</v>
      </c>
      <c r="T391">
        <v>1.289935148733321</v>
      </c>
      <c r="U391">
        <v>225.99381183261451</v>
      </c>
      <c r="V391">
        <v>199.75753884031039</v>
      </c>
    </row>
    <row r="392" spans="1:26" hidden="1" x14ac:dyDescent="0.2">
      <c r="A392" t="s">
        <v>829</v>
      </c>
      <c r="B392" t="s">
        <v>181</v>
      </c>
      <c r="C392">
        <v>2.7</v>
      </c>
      <c r="D392">
        <v>70</v>
      </c>
      <c r="E392">
        <v>7.1021868095104201</v>
      </c>
      <c r="F392">
        <v>6.4145006963620759</v>
      </c>
      <c r="G392">
        <v>1631.079846550668</v>
      </c>
      <c r="H392">
        <v>0</v>
      </c>
      <c r="I392">
        <v>0.7</v>
      </c>
      <c r="J392" t="b">
        <v>1</v>
      </c>
      <c r="K392">
        <v>1E+18</v>
      </c>
      <c r="L392">
        <v>0.3</v>
      </c>
      <c r="M392" t="b">
        <v>1</v>
      </c>
      <c r="N392">
        <v>100000000000</v>
      </c>
      <c r="O392">
        <v>0.36368475552468199</v>
      </c>
      <c r="P392">
        <v>0.1847918973499052</v>
      </c>
      <c r="Q392">
        <v>0.12130323767052251</v>
      </c>
      <c r="R392" t="s">
        <v>809</v>
      </c>
      <c r="S392" t="s">
        <v>810</v>
      </c>
      <c r="T392">
        <v>1.289935148733321</v>
      </c>
      <c r="U392">
        <v>282.41743401857389</v>
      </c>
      <c r="V392">
        <v>199.72294309008109</v>
      </c>
    </row>
    <row r="393" spans="1:26" hidden="1" x14ac:dyDescent="0.2">
      <c r="A393" t="s">
        <v>829</v>
      </c>
      <c r="B393" t="s">
        <v>181</v>
      </c>
      <c r="C393">
        <v>2.7</v>
      </c>
      <c r="D393">
        <v>65</v>
      </c>
      <c r="E393">
        <v>7.0959272587372038</v>
      </c>
      <c r="F393">
        <v>6.4165546568444967</v>
      </c>
      <c r="G393">
        <v>1625.4885670909171</v>
      </c>
      <c r="H393">
        <v>0</v>
      </c>
      <c r="I393">
        <v>0.7</v>
      </c>
      <c r="J393" t="b">
        <v>1</v>
      </c>
      <c r="K393">
        <v>1E+18</v>
      </c>
      <c r="L393">
        <v>0.3</v>
      </c>
      <c r="M393" t="b">
        <v>1</v>
      </c>
      <c r="N393">
        <v>100000000000</v>
      </c>
      <c r="O393">
        <v>0.36407379324620692</v>
      </c>
      <c r="P393">
        <v>0.1840907237512743</v>
      </c>
      <c r="Q393">
        <v>0.1208243847633013</v>
      </c>
      <c r="R393" t="s">
        <v>811</v>
      </c>
      <c r="S393" t="s">
        <v>812</v>
      </c>
      <c r="T393">
        <v>1.289935148733321</v>
      </c>
      <c r="U393">
        <v>286.83243666522083</v>
      </c>
      <c r="V393">
        <v>199.81089258373129</v>
      </c>
    </row>
    <row r="394" spans="1:26" hidden="1" x14ac:dyDescent="0.2">
      <c r="A394" t="s">
        <v>829</v>
      </c>
      <c r="B394" t="s">
        <v>181</v>
      </c>
      <c r="C394">
        <v>2.7</v>
      </c>
      <c r="D394">
        <v>60</v>
      </c>
      <c r="E394">
        <v>7.0960212091290726</v>
      </c>
      <c r="F394">
        <v>6.4188311235992987</v>
      </c>
      <c r="G394">
        <v>1619.474872454289</v>
      </c>
      <c r="H394">
        <v>0</v>
      </c>
      <c r="I394">
        <v>0.7</v>
      </c>
      <c r="J394" t="b">
        <v>1</v>
      </c>
      <c r="K394">
        <v>1E+18</v>
      </c>
      <c r="L394">
        <v>0.3</v>
      </c>
      <c r="M394" t="b">
        <v>1</v>
      </c>
      <c r="N394">
        <v>100000000000</v>
      </c>
      <c r="O394">
        <v>0.36445871450314232</v>
      </c>
      <c r="P394">
        <v>0.18340392515921361</v>
      </c>
      <c r="Q394">
        <v>0.1202996580263163</v>
      </c>
      <c r="R394" t="s">
        <v>813</v>
      </c>
      <c r="S394" t="s">
        <v>814</v>
      </c>
      <c r="T394">
        <v>1.289935148733321</v>
      </c>
      <c r="U394">
        <v>284.35834441265018</v>
      </c>
      <c r="V394">
        <v>199.90094920298199</v>
      </c>
    </row>
    <row r="395" spans="1:26" hidden="1" x14ac:dyDescent="0.2">
      <c r="A395" t="s">
        <v>829</v>
      </c>
      <c r="B395" t="s">
        <v>181</v>
      </c>
      <c r="C395">
        <v>2.8</v>
      </c>
      <c r="D395">
        <v>70</v>
      </c>
      <c r="E395">
        <v>7.0958907934442017</v>
      </c>
      <c r="F395">
        <v>6.4187985139242167</v>
      </c>
      <c r="G395">
        <v>1619.4077639217251</v>
      </c>
      <c r="H395">
        <v>0</v>
      </c>
      <c r="I395">
        <v>0.7</v>
      </c>
      <c r="J395" t="b">
        <v>1</v>
      </c>
      <c r="K395">
        <v>1E+18</v>
      </c>
      <c r="L395">
        <v>0.3</v>
      </c>
      <c r="M395" t="b">
        <v>1</v>
      </c>
      <c r="N395">
        <v>100000000000</v>
      </c>
      <c r="O395">
        <v>0.36448411031557137</v>
      </c>
      <c r="P395">
        <v>0.18339810662664949</v>
      </c>
      <c r="Q395">
        <v>0.1203317118943195</v>
      </c>
      <c r="R395" t="s">
        <v>815</v>
      </c>
      <c r="S395" t="s">
        <v>816</v>
      </c>
      <c r="T395">
        <v>1.289935148733321</v>
      </c>
      <c r="U395">
        <v>278.5788198411239</v>
      </c>
      <c r="V395">
        <v>199.9085023546937</v>
      </c>
    </row>
    <row r="396" spans="1:26" hidden="1" x14ac:dyDescent="0.2">
      <c r="A396" t="s">
        <v>829</v>
      </c>
      <c r="B396" t="s">
        <v>181</v>
      </c>
      <c r="C396">
        <v>2.7</v>
      </c>
      <c r="D396">
        <v>70</v>
      </c>
      <c r="E396">
        <v>7.2692946160027132</v>
      </c>
      <c r="F396">
        <v>6.5947831756902922</v>
      </c>
      <c r="G396">
        <v>1595.477251933022</v>
      </c>
      <c r="H396">
        <v>0</v>
      </c>
      <c r="I396">
        <v>0.6</v>
      </c>
      <c r="J396" t="b">
        <v>1</v>
      </c>
      <c r="K396">
        <v>1E+18</v>
      </c>
      <c r="L396">
        <v>0.3</v>
      </c>
      <c r="M396" t="b">
        <v>1</v>
      </c>
      <c r="N396">
        <v>100000000000</v>
      </c>
      <c r="O396">
        <v>0.36342072271679532</v>
      </c>
      <c r="P396">
        <v>0.18154315951563901</v>
      </c>
      <c r="Q396">
        <v>0.11685790353984959</v>
      </c>
      <c r="R396" t="s">
        <v>817</v>
      </c>
      <c r="S396" t="s">
        <v>818</v>
      </c>
      <c r="T396">
        <v>1.289935148733321</v>
      </c>
      <c r="U396">
        <v>284.31954449420863</v>
      </c>
      <c r="V396">
        <v>199.76987060674449</v>
      </c>
    </row>
    <row r="397" spans="1:26" hidden="1" x14ac:dyDescent="0.2">
      <c r="A397" t="s">
        <v>829</v>
      </c>
      <c r="B397" t="s">
        <v>181</v>
      </c>
      <c r="C397">
        <v>2.7</v>
      </c>
      <c r="D397">
        <v>65</v>
      </c>
      <c r="E397">
        <v>7.2683885605158256</v>
      </c>
      <c r="F397">
        <v>6.596822500550477</v>
      </c>
      <c r="G397">
        <v>1589.7102280425499</v>
      </c>
      <c r="H397">
        <v>0</v>
      </c>
      <c r="I397">
        <v>0.6</v>
      </c>
      <c r="J397" t="b">
        <v>1</v>
      </c>
      <c r="K397">
        <v>1E+18</v>
      </c>
      <c r="L397">
        <v>0.3</v>
      </c>
      <c r="M397" t="b">
        <v>1</v>
      </c>
      <c r="N397">
        <v>100000000000</v>
      </c>
      <c r="O397">
        <v>0.36380871152417771</v>
      </c>
      <c r="P397">
        <v>0.18087936563619481</v>
      </c>
      <c r="Q397">
        <v>0.1164214555821981</v>
      </c>
      <c r="R397" t="s">
        <v>819</v>
      </c>
      <c r="S397" t="s">
        <v>820</v>
      </c>
      <c r="T397">
        <v>1.289935148733321</v>
      </c>
      <c r="U397">
        <v>276.7007379298206</v>
      </c>
      <c r="V397">
        <v>199.85954348521321</v>
      </c>
    </row>
    <row r="398" spans="1:26" hidden="1" x14ac:dyDescent="0.2">
      <c r="A398" t="s">
        <v>829</v>
      </c>
      <c r="B398" t="s">
        <v>181</v>
      </c>
      <c r="C398">
        <v>2.7</v>
      </c>
      <c r="D398">
        <v>60</v>
      </c>
      <c r="E398">
        <v>7.2631323020507761</v>
      </c>
      <c r="F398">
        <v>6.5987113034508997</v>
      </c>
      <c r="G398">
        <v>1584.1472127675049</v>
      </c>
      <c r="H398">
        <v>0</v>
      </c>
      <c r="I398">
        <v>0.6</v>
      </c>
      <c r="J398" t="b">
        <v>1</v>
      </c>
      <c r="K398">
        <v>1E+18</v>
      </c>
      <c r="L398">
        <v>0.3</v>
      </c>
      <c r="M398" t="b">
        <v>1</v>
      </c>
      <c r="N398">
        <v>100000000000</v>
      </c>
      <c r="O398">
        <v>0.36420391572272909</v>
      </c>
      <c r="P398">
        <v>0.18019679786180781</v>
      </c>
      <c r="Q398">
        <v>0.115967813062128</v>
      </c>
      <c r="R398" t="s">
        <v>821</v>
      </c>
      <c r="S398" t="s">
        <v>822</v>
      </c>
      <c r="T398">
        <v>1.289935148733321</v>
      </c>
      <c r="U398">
        <v>275.5158161315519</v>
      </c>
      <c r="V398">
        <v>199.93836524666821</v>
      </c>
    </row>
    <row r="399" spans="1:26" hidden="1" x14ac:dyDescent="0.2">
      <c r="A399" t="s">
        <v>829</v>
      </c>
      <c r="B399" t="s">
        <v>181</v>
      </c>
      <c r="C399">
        <v>2.7</v>
      </c>
      <c r="D399">
        <v>55</v>
      </c>
      <c r="E399">
        <v>7.2629301409129958</v>
      </c>
      <c r="F399">
        <v>6.6007598454188221</v>
      </c>
      <c r="G399">
        <v>1578.247344276205</v>
      </c>
      <c r="H399">
        <v>0</v>
      </c>
      <c r="I399">
        <v>0.6</v>
      </c>
      <c r="J399" t="b">
        <v>1</v>
      </c>
      <c r="K399">
        <v>1E+18</v>
      </c>
      <c r="L399">
        <v>0.3</v>
      </c>
      <c r="M399" t="b">
        <v>1</v>
      </c>
      <c r="N399">
        <v>100000000000</v>
      </c>
      <c r="O399">
        <v>0.36459668150710223</v>
      </c>
      <c r="P399">
        <v>0.17952744438209789</v>
      </c>
      <c r="Q399">
        <v>0.1155040921550723</v>
      </c>
      <c r="R399" t="s">
        <v>823</v>
      </c>
      <c r="S399" t="s">
        <v>824</v>
      </c>
      <c r="T399">
        <v>1.289935148733321</v>
      </c>
      <c r="U399">
        <v>272.92248473185992</v>
      </c>
      <c r="V399">
        <v>200.02233779930049</v>
      </c>
    </row>
    <row r="400" spans="1:26" hidden="1" x14ac:dyDescent="0.2">
      <c r="A400" t="s">
        <v>829</v>
      </c>
      <c r="B400" t="s">
        <v>181</v>
      </c>
      <c r="C400">
        <v>2.8</v>
      </c>
      <c r="D400">
        <v>70</v>
      </c>
      <c r="E400">
        <v>7.262992567924706</v>
      </c>
      <c r="F400">
        <v>6.5986773583656708</v>
      </c>
      <c r="G400">
        <v>1584.081761621959</v>
      </c>
      <c r="H400">
        <v>0</v>
      </c>
      <c r="I400">
        <v>0.6</v>
      </c>
      <c r="J400" t="b">
        <v>1</v>
      </c>
      <c r="K400">
        <v>1E+18</v>
      </c>
      <c r="L400">
        <v>0.3</v>
      </c>
      <c r="M400" t="b">
        <v>1</v>
      </c>
      <c r="N400">
        <v>100000000000</v>
      </c>
      <c r="O400">
        <v>0.36422937335392519</v>
      </c>
      <c r="P400">
        <v>0.18019106637540669</v>
      </c>
      <c r="Q400">
        <v>0.115994437037805</v>
      </c>
      <c r="R400" t="s">
        <v>825</v>
      </c>
      <c r="S400" t="s">
        <v>826</v>
      </c>
      <c r="T400">
        <v>1.289935148733321</v>
      </c>
      <c r="U400">
        <v>279.90845079873492</v>
      </c>
      <c r="V400">
        <v>199.9447946537698</v>
      </c>
    </row>
    <row r="401" spans="1:26" hidden="1" x14ac:dyDescent="0.2">
      <c r="A401" t="s">
        <v>829</v>
      </c>
      <c r="B401" t="s">
        <v>181</v>
      </c>
      <c r="C401">
        <v>2.8</v>
      </c>
      <c r="D401">
        <v>65</v>
      </c>
      <c r="E401">
        <v>7.2636266357817334</v>
      </c>
      <c r="F401">
        <v>6.6004699109739171</v>
      </c>
      <c r="G401">
        <v>1578.978178050879</v>
      </c>
      <c r="H401">
        <v>0</v>
      </c>
      <c r="I401">
        <v>0.6</v>
      </c>
      <c r="J401" t="b">
        <v>1</v>
      </c>
      <c r="K401">
        <v>1E+18</v>
      </c>
      <c r="L401">
        <v>0.3</v>
      </c>
      <c r="M401" t="b">
        <v>1</v>
      </c>
      <c r="N401">
        <v>100000000000</v>
      </c>
      <c r="O401">
        <v>0.36456242550663692</v>
      </c>
      <c r="P401">
        <v>0.17961964383922691</v>
      </c>
      <c r="Q401">
        <v>0.1156008771345349</v>
      </c>
      <c r="R401" t="s">
        <v>827</v>
      </c>
      <c r="S401" t="s">
        <v>828</v>
      </c>
      <c r="T401">
        <v>1.289935148733321</v>
      </c>
      <c r="U401">
        <v>271.34577883935458</v>
      </c>
      <c r="V401">
        <v>200.018805064232</v>
      </c>
    </row>
    <row r="402" spans="1:26" x14ac:dyDescent="0.2">
      <c r="A402" t="s">
        <v>829</v>
      </c>
      <c r="B402" t="s">
        <v>30</v>
      </c>
      <c r="C402">
        <v>2.7</v>
      </c>
      <c r="D402">
        <v>70</v>
      </c>
      <c r="E402">
        <v>6.7827869579313473</v>
      </c>
      <c r="F402">
        <v>6.0592855105424173</v>
      </c>
      <c r="G402">
        <v>1728.691484201775</v>
      </c>
      <c r="H402">
        <v>0</v>
      </c>
      <c r="I402">
        <v>0.9</v>
      </c>
      <c r="J402" t="b">
        <v>1</v>
      </c>
      <c r="K402">
        <v>1E+21</v>
      </c>
      <c r="L402">
        <v>0.3</v>
      </c>
      <c r="M402" t="b">
        <v>1</v>
      </c>
      <c r="N402">
        <v>100000000000</v>
      </c>
      <c r="O402">
        <v>0.36353954759251889</v>
      </c>
      <c r="P402">
        <v>0.19291553223773009</v>
      </c>
      <c r="Q402">
        <v>0.13630376061437949</v>
      </c>
      <c r="R402" t="s">
        <v>830</v>
      </c>
      <c r="S402" t="s">
        <v>831</v>
      </c>
      <c r="T402">
        <v>1.289935148733321</v>
      </c>
      <c r="U402">
        <v>210.44035334421349</v>
      </c>
      <c r="V402">
        <v>199.6020748071189</v>
      </c>
      <c r="W402">
        <f>VALUE(","&amp;MID(R402,4,10))</f>
        <v>0.17679310370000001</v>
      </c>
      <c r="X402">
        <f>((O402-0.364)/0.0012)^2+((W402-0.174)/0.016)^2</f>
        <v>0.17770795390573632</v>
      </c>
      <c r="Y402">
        <f>((O402-O$8)/0.0012)^2+((W402-W$8)/0.016)^2</f>
        <v>0.67546880990034364</v>
      </c>
      <c r="Z402" s="5">
        <f>Y402*100</f>
        <v>67.546880990034367</v>
      </c>
    </row>
    <row r="403" spans="1:26" hidden="1" x14ac:dyDescent="0.2">
      <c r="A403" t="s">
        <v>829</v>
      </c>
      <c r="B403" t="s">
        <v>30</v>
      </c>
      <c r="C403">
        <v>2.7</v>
      </c>
      <c r="D403">
        <v>70</v>
      </c>
      <c r="E403">
        <v>6.7827869579313473</v>
      </c>
      <c r="F403">
        <v>6.0592855105424173</v>
      </c>
      <c r="G403">
        <v>1728.691484201775</v>
      </c>
      <c r="H403">
        <v>0</v>
      </c>
      <c r="I403">
        <v>0.9</v>
      </c>
      <c r="J403" t="b">
        <v>1</v>
      </c>
      <c r="K403">
        <v>1E+20</v>
      </c>
      <c r="L403">
        <v>0.3</v>
      </c>
      <c r="M403" t="b">
        <v>1</v>
      </c>
      <c r="N403">
        <v>100000000000</v>
      </c>
      <c r="O403">
        <v>0.36353954759251889</v>
      </c>
      <c r="P403">
        <v>0.19291553223773009</v>
      </c>
      <c r="Q403">
        <v>0.13630376061437949</v>
      </c>
      <c r="R403" t="s">
        <v>832</v>
      </c>
      <c r="S403" t="s">
        <v>833</v>
      </c>
      <c r="T403">
        <v>1.289935148733321</v>
      </c>
      <c r="U403">
        <v>214.9293625139164</v>
      </c>
      <c r="V403">
        <v>199.6020748071189</v>
      </c>
    </row>
    <row r="404" spans="1:26" x14ac:dyDescent="0.2">
      <c r="A404" t="s">
        <v>829</v>
      </c>
      <c r="B404" t="s">
        <v>30</v>
      </c>
      <c r="C404">
        <v>2.7</v>
      </c>
      <c r="D404">
        <v>65</v>
      </c>
      <c r="E404">
        <v>6.7765634174455904</v>
      </c>
      <c r="F404">
        <v>6.0615964072539308</v>
      </c>
      <c r="G404">
        <v>1723.1827322017759</v>
      </c>
      <c r="H404">
        <v>0</v>
      </c>
      <c r="I404">
        <v>0.9</v>
      </c>
      <c r="J404" t="b">
        <v>1</v>
      </c>
      <c r="K404">
        <v>1E+21</v>
      </c>
      <c r="L404">
        <v>0.3</v>
      </c>
      <c r="M404" t="b">
        <v>1</v>
      </c>
      <c r="N404">
        <v>100000000000</v>
      </c>
      <c r="O404">
        <v>0.36390564862394598</v>
      </c>
      <c r="P404">
        <v>0.19221598970567191</v>
      </c>
      <c r="Q404">
        <v>0.13573746712408721</v>
      </c>
      <c r="R404" t="s">
        <v>834</v>
      </c>
      <c r="S404" t="s">
        <v>835</v>
      </c>
      <c r="T404">
        <v>1.289935148733321</v>
      </c>
      <c r="U404">
        <v>210.45812058458151</v>
      </c>
      <c r="V404">
        <v>199.7061766312363</v>
      </c>
      <c r="W404">
        <f>VALUE(","&amp;MID(R404,4,10))</f>
        <v>0.1758780778</v>
      </c>
      <c r="X404">
        <f>((O404-0.364)/0.0012)^2+((W404-0.174)/0.016)^2</f>
        <v>1.9960103067245487E-2</v>
      </c>
      <c r="Y404">
        <f>((O404-O$8)/0.0012)^2+((W404-W$8)/0.016)^2</f>
        <v>0.33490699181635941</v>
      </c>
      <c r="Z404" s="5">
        <f>Y404*100</f>
        <v>33.490699181635939</v>
      </c>
    </row>
    <row r="405" spans="1:26" hidden="1" x14ac:dyDescent="0.2">
      <c r="A405" t="s">
        <v>829</v>
      </c>
      <c r="B405" t="s">
        <v>30</v>
      </c>
      <c r="C405">
        <v>2.7</v>
      </c>
      <c r="D405">
        <v>65</v>
      </c>
      <c r="E405">
        <v>6.7765634174455904</v>
      </c>
      <c r="F405">
        <v>6.0615964072539308</v>
      </c>
      <c r="G405">
        <v>1723.1827322017759</v>
      </c>
      <c r="H405">
        <v>0</v>
      </c>
      <c r="I405">
        <v>0.9</v>
      </c>
      <c r="J405" t="b">
        <v>1</v>
      </c>
      <c r="K405">
        <v>1E+20</v>
      </c>
      <c r="L405">
        <v>0.3</v>
      </c>
      <c r="M405" t="b">
        <v>1</v>
      </c>
      <c r="N405">
        <v>100000000000</v>
      </c>
      <c r="O405">
        <v>0.36390564862394598</v>
      </c>
      <c r="P405">
        <v>0.19221598970567191</v>
      </c>
      <c r="Q405">
        <v>0.13573746712408721</v>
      </c>
      <c r="R405" t="s">
        <v>836</v>
      </c>
      <c r="S405" t="s">
        <v>837</v>
      </c>
      <c r="T405">
        <v>1.289935148733321</v>
      </c>
      <c r="U405">
        <v>214.91926778307109</v>
      </c>
      <c r="V405">
        <v>199.7061766312363</v>
      </c>
    </row>
    <row r="406" spans="1:26" x14ac:dyDescent="0.2">
      <c r="A406" t="s">
        <v>829</v>
      </c>
      <c r="B406" t="s">
        <v>30</v>
      </c>
      <c r="C406">
        <v>2.7</v>
      </c>
      <c r="D406">
        <v>60</v>
      </c>
      <c r="E406">
        <v>6.7752392924793714</v>
      </c>
      <c r="F406">
        <v>6.0640795804813639</v>
      </c>
      <c r="G406">
        <v>1717.3349882017769</v>
      </c>
      <c r="H406">
        <v>0</v>
      </c>
      <c r="I406">
        <v>0.9</v>
      </c>
      <c r="J406" t="b">
        <v>1</v>
      </c>
      <c r="K406">
        <v>1E+21</v>
      </c>
      <c r="L406">
        <v>0.3</v>
      </c>
      <c r="M406" t="b">
        <v>1</v>
      </c>
      <c r="N406">
        <v>100000000000</v>
      </c>
      <c r="O406">
        <v>0.36426826733510392</v>
      </c>
      <c r="P406">
        <v>0.1915225908735364</v>
      </c>
      <c r="Q406">
        <v>0.1351287496039946</v>
      </c>
      <c r="R406" t="s">
        <v>838</v>
      </c>
      <c r="S406" t="s">
        <v>839</v>
      </c>
      <c r="T406">
        <v>1.289935148733321</v>
      </c>
      <c r="U406">
        <v>210.47195706577011</v>
      </c>
      <c r="V406">
        <v>199.81229460750049</v>
      </c>
      <c r="W406">
        <f>VALUE(","&amp;MID(R406,4,10))</f>
        <v>0.17489965630000001</v>
      </c>
      <c r="X406">
        <f>((O406-0.364)/0.0012)^2+((W406-0.174)/0.016)^2</f>
        <v>5.3138981795656799E-2</v>
      </c>
      <c r="Y406">
        <f>((O406-O$8)/0.0012)^2+((W406-W$8)/0.016)^2</f>
        <v>0.18365570846416018</v>
      </c>
      <c r="Z406" s="5">
        <f>Y406*100</f>
        <v>18.36557084641602</v>
      </c>
    </row>
    <row r="407" spans="1:26" hidden="1" x14ac:dyDescent="0.2">
      <c r="A407" t="s">
        <v>829</v>
      </c>
      <c r="B407" t="s">
        <v>30</v>
      </c>
      <c r="C407">
        <v>2.7</v>
      </c>
      <c r="D407">
        <v>60</v>
      </c>
      <c r="E407">
        <v>6.7752392924793714</v>
      </c>
      <c r="F407">
        <v>6.0640795804813639</v>
      </c>
      <c r="G407">
        <v>1717.3349882017769</v>
      </c>
      <c r="H407">
        <v>0</v>
      </c>
      <c r="I407">
        <v>0.9</v>
      </c>
      <c r="J407" t="b">
        <v>1</v>
      </c>
      <c r="K407">
        <v>1E+20</v>
      </c>
      <c r="L407">
        <v>0.3</v>
      </c>
      <c r="M407" t="b">
        <v>1</v>
      </c>
      <c r="N407">
        <v>100000000000</v>
      </c>
      <c r="O407">
        <v>0.36426826733510392</v>
      </c>
      <c r="P407">
        <v>0.1915225908735364</v>
      </c>
      <c r="Q407">
        <v>0.1351287496039946</v>
      </c>
      <c r="R407" t="s">
        <v>840</v>
      </c>
      <c r="S407" t="s">
        <v>841</v>
      </c>
      <c r="T407">
        <v>1.289935148733321</v>
      </c>
      <c r="U407">
        <v>214.9027474979477</v>
      </c>
      <c r="V407">
        <v>199.81229460750049</v>
      </c>
    </row>
    <row r="408" spans="1:26" x14ac:dyDescent="0.2">
      <c r="A408" t="s">
        <v>829</v>
      </c>
      <c r="B408" t="s">
        <v>30</v>
      </c>
      <c r="C408">
        <v>2.8</v>
      </c>
      <c r="D408">
        <v>70</v>
      </c>
      <c r="E408">
        <v>6.7763222864989574</v>
      </c>
      <c r="F408">
        <v>6.0642523264826629</v>
      </c>
      <c r="G408">
        <v>1716.8267642017761</v>
      </c>
      <c r="H408">
        <v>0</v>
      </c>
      <c r="I408">
        <v>0.9</v>
      </c>
      <c r="J408" t="b">
        <v>1</v>
      </c>
      <c r="K408">
        <v>1E+21</v>
      </c>
      <c r="L408">
        <v>0.3</v>
      </c>
      <c r="M408" t="b">
        <v>1</v>
      </c>
      <c r="N408">
        <v>100000000000</v>
      </c>
      <c r="O408">
        <v>0.36431416821408369</v>
      </c>
      <c r="P408">
        <v>0.19147662518469319</v>
      </c>
      <c r="Q408">
        <v>0.13510778022406811</v>
      </c>
      <c r="R408" t="s">
        <v>842</v>
      </c>
      <c r="S408" t="s">
        <v>843</v>
      </c>
      <c r="T408">
        <v>1.289935148733321</v>
      </c>
      <c r="U408">
        <v>210.47415059540401</v>
      </c>
      <c r="V408">
        <v>199.82695676312349</v>
      </c>
      <c r="W408">
        <f>VALUE(","&amp;MID(R408,4,10))</f>
        <v>0.17486419719999999</v>
      </c>
      <c r="X408">
        <f>((O408-0.364)/0.0012)^2+((W408-0.174)/0.016)^2</f>
        <v>7.1460155377281176E-2</v>
      </c>
      <c r="Y408">
        <f>((O408-O$8)/0.0012)^2+((W408-W$8)/0.016)^2</f>
        <v>0.18274464546543576</v>
      </c>
      <c r="Z408" s="5">
        <f>Y408*100</f>
        <v>18.274464546543577</v>
      </c>
    </row>
    <row r="409" spans="1:26" hidden="1" x14ac:dyDescent="0.2">
      <c r="A409" t="s">
        <v>829</v>
      </c>
      <c r="B409" t="s">
        <v>30</v>
      </c>
      <c r="C409">
        <v>2.8</v>
      </c>
      <c r="D409">
        <v>70</v>
      </c>
      <c r="E409">
        <v>6.7763222864989574</v>
      </c>
      <c r="F409">
        <v>6.0642523264826629</v>
      </c>
      <c r="G409">
        <v>1716.8267642017761</v>
      </c>
      <c r="H409">
        <v>0</v>
      </c>
      <c r="I409">
        <v>0.9</v>
      </c>
      <c r="J409" t="b">
        <v>1</v>
      </c>
      <c r="K409">
        <v>1E+20</v>
      </c>
      <c r="L409">
        <v>0.3</v>
      </c>
      <c r="M409" t="b">
        <v>1</v>
      </c>
      <c r="N409">
        <v>100000000000</v>
      </c>
      <c r="O409">
        <v>0.36431416821408369</v>
      </c>
      <c r="P409">
        <v>0.19147662518469319</v>
      </c>
      <c r="Q409">
        <v>0.13510778022406811</v>
      </c>
      <c r="R409" t="s">
        <v>844</v>
      </c>
      <c r="S409" t="s">
        <v>845</v>
      </c>
      <c r="T409">
        <v>1.289935148733321</v>
      </c>
      <c r="U409">
        <v>214.89074164040389</v>
      </c>
      <c r="V409">
        <v>199.82695676312349</v>
      </c>
    </row>
    <row r="410" spans="1:26" x14ac:dyDescent="0.2">
      <c r="A410" t="s">
        <v>829</v>
      </c>
      <c r="B410" t="s">
        <v>30</v>
      </c>
      <c r="C410">
        <v>2.7</v>
      </c>
      <c r="D410">
        <v>65</v>
      </c>
      <c r="E410">
        <v>6.9117699890392252</v>
      </c>
      <c r="F410">
        <v>6.2057901179625006</v>
      </c>
      <c r="G410">
        <v>1689.28353220178</v>
      </c>
      <c r="H410">
        <v>0</v>
      </c>
      <c r="I410">
        <v>0.8</v>
      </c>
      <c r="J410" t="b">
        <v>1</v>
      </c>
      <c r="K410">
        <v>1E+21</v>
      </c>
      <c r="L410">
        <v>0.3</v>
      </c>
      <c r="M410" t="b">
        <v>1</v>
      </c>
      <c r="N410">
        <v>100000000000</v>
      </c>
      <c r="O410">
        <v>0.36362782748192041</v>
      </c>
      <c r="P410">
        <v>0.18967854852103491</v>
      </c>
      <c r="Q410">
        <v>0.13092189453112679</v>
      </c>
      <c r="R410" t="s">
        <v>846</v>
      </c>
      <c r="S410" t="s">
        <v>847</v>
      </c>
      <c r="T410">
        <v>1.289935148733321</v>
      </c>
      <c r="U410">
        <v>209.8788223450438</v>
      </c>
      <c r="V410">
        <v>199.81131317808871</v>
      </c>
      <c r="W410">
        <f>VALUE(","&amp;MID(R410,4,10))</f>
        <v>0.1687258958</v>
      </c>
      <c r="X410">
        <f>((O410-0.364)/0.0012)^2+((W410-0.174)/0.016)^2</f>
        <v>0.20484608904254953</v>
      </c>
      <c r="Y410">
        <f>((O410-O$8)/0.0012)^2+((W410-W$8)/0.016)^2</f>
        <v>0.29338787408632194</v>
      </c>
      <c r="Z410" s="5">
        <f>Y410*100</f>
        <v>29.338787408632193</v>
      </c>
    </row>
    <row r="411" spans="1:26" hidden="1" x14ac:dyDescent="0.2">
      <c r="A411" t="s">
        <v>829</v>
      </c>
      <c r="B411" t="s">
        <v>30</v>
      </c>
      <c r="C411">
        <v>2.7</v>
      </c>
      <c r="D411">
        <v>65</v>
      </c>
      <c r="E411">
        <v>6.9117699890392252</v>
      </c>
      <c r="F411">
        <v>6.2057901179625006</v>
      </c>
      <c r="G411">
        <v>1689.28353220178</v>
      </c>
      <c r="H411">
        <v>0</v>
      </c>
      <c r="I411">
        <v>0.8</v>
      </c>
      <c r="J411" t="b">
        <v>1</v>
      </c>
      <c r="K411">
        <v>1E+20</v>
      </c>
      <c r="L411">
        <v>0.3</v>
      </c>
      <c r="M411" t="b">
        <v>1</v>
      </c>
      <c r="N411">
        <v>100000000000</v>
      </c>
      <c r="O411">
        <v>0.36362782748192041</v>
      </c>
      <c r="P411">
        <v>0.18967854852103491</v>
      </c>
      <c r="Q411">
        <v>0.13092189453112679</v>
      </c>
      <c r="R411" t="s">
        <v>848</v>
      </c>
      <c r="S411" t="s">
        <v>849</v>
      </c>
      <c r="T411">
        <v>1.289935148733321</v>
      </c>
      <c r="U411">
        <v>214.05224154649619</v>
      </c>
      <c r="V411">
        <v>199.81131317808871</v>
      </c>
    </row>
    <row r="412" spans="1:26" hidden="1" x14ac:dyDescent="0.2">
      <c r="A412" t="s">
        <v>829</v>
      </c>
      <c r="B412" t="s">
        <v>30</v>
      </c>
      <c r="C412">
        <v>2.7</v>
      </c>
      <c r="D412">
        <v>65</v>
      </c>
      <c r="E412">
        <v>6.9117699890392252</v>
      </c>
      <c r="F412">
        <v>6.2057901179625006</v>
      </c>
      <c r="G412">
        <v>1689.28353220178</v>
      </c>
      <c r="H412">
        <v>0</v>
      </c>
      <c r="I412">
        <v>0.8</v>
      </c>
      <c r="J412" t="b">
        <v>1</v>
      </c>
      <c r="K412">
        <v>1E+19</v>
      </c>
      <c r="L412">
        <v>0.3</v>
      </c>
      <c r="M412" t="b">
        <v>1</v>
      </c>
      <c r="N412">
        <v>100000000000</v>
      </c>
      <c r="O412">
        <v>0.36362782748192041</v>
      </c>
      <c r="P412">
        <v>0.18967854852103491</v>
      </c>
      <c r="Q412">
        <v>0.13092189453112679</v>
      </c>
      <c r="R412" t="s">
        <v>850</v>
      </c>
      <c r="S412" t="s">
        <v>851</v>
      </c>
      <c r="T412">
        <v>1.289935148733321</v>
      </c>
      <c r="U412">
        <v>228.25523511231131</v>
      </c>
      <c r="V412">
        <v>199.81131317808871</v>
      </c>
    </row>
    <row r="413" spans="1:26" x14ac:dyDescent="0.2">
      <c r="A413" t="s">
        <v>829</v>
      </c>
      <c r="B413" t="s">
        <v>30</v>
      </c>
      <c r="C413">
        <v>2.7</v>
      </c>
      <c r="D413">
        <v>60</v>
      </c>
      <c r="E413">
        <v>6.9125701370954236</v>
      </c>
      <c r="F413">
        <v>6.2081700502536528</v>
      </c>
      <c r="G413">
        <v>1683.435788201781</v>
      </c>
      <c r="H413">
        <v>0</v>
      </c>
      <c r="I413">
        <v>0.8</v>
      </c>
      <c r="J413" t="b">
        <v>1</v>
      </c>
      <c r="K413">
        <v>1E+21</v>
      </c>
      <c r="L413">
        <v>0.3</v>
      </c>
      <c r="M413" t="b">
        <v>1</v>
      </c>
      <c r="N413">
        <v>100000000000</v>
      </c>
      <c r="O413">
        <v>0.36399260141370737</v>
      </c>
      <c r="P413">
        <v>0.18900829015896459</v>
      </c>
      <c r="Q413">
        <v>0.130352107889705</v>
      </c>
      <c r="R413" t="s">
        <v>852</v>
      </c>
      <c r="S413" t="s">
        <v>853</v>
      </c>
      <c r="T413">
        <v>1.289935148733321</v>
      </c>
      <c r="U413">
        <v>209.90489568266719</v>
      </c>
      <c r="V413">
        <v>199.91215296748291</v>
      </c>
      <c r="W413">
        <f>VALUE(","&amp;MID(R413,4,10))</f>
        <v>0.16781838969999999</v>
      </c>
      <c r="X413">
        <f>((O413-0.364)/0.0012)^2+((W413-0.174)/0.016)^2</f>
        <v>0.1493048331754348</v>
      </c>
      <c r="Y413">
        <f>((O413-O$8)/0.0012)^2+((W413-W$8)/0.016)^2</f>
        <v>5.5890922045597036E-2</v>
      </c>
      <c r="Z413" s="5">
        <f>Y413*100</f>
        <v>5.5890922045597033</v>
      </c>
    </row>
    <row r="414" spans="1:26" hidden="1" x14ac:dyDescent="0.2">
      <c r="A414" t="s">
        <v>829</v>
      </c>
      <c r="B414" t="s">
        <v>30</v>
      </c>
      <c r="C414">
        <v>2.7</v>
      </c>
      <c r="D414">
        <v>60</v>
      </c>
      <c r="E414">
        <v>6.9125701370954236</v>
      </c>
      <c r="F414">
        <v>6.2081700502536528</v>
      </c>
      <c r="G414">
        <v>1683.435788201781</v>
      </c>
      <c r="H414">
        <v>0</v>
      </c>
      <c r="I414">
        <v>0.8</v>
      </c>
      <c r="J414" t="b">
        <v>1</v>
      </c>
      <c r="K414">
        <v>1E+20</v>
      </c>
      <c r="L414">
        <v>0.3</v>
      </c>
      <c r="M414" t="b">
        <v>1</v>
      </c>
      <c r="N414">
        <v>100000000000</v>
      </c>
      <c r="O414">
        <v>0.36399260141370737</v>
      </c>
      <c r="P414">
        <v>0.18900829015896459</v>
      </c>
      <c r="Q414">
        <v>0.130352107889705</v>
      </c>
      <c r="R414" t="s">
        <v>854</v>
      </c>
      <c r="S414" t="s">
        <v>855</v>
      </c>
      <c r="T414">
        <v>1.289935148733321</v>
      </c>
      <c r="U414">
        <v>214.04253370746679</v>
      </c>
      <c r="V414">
        <v>199.91215296748291</v>
      </c>
    </row>
    <row r="415" spans="1:26" hidden="1" x14ac:dyDescent="0.2">
      <c r="A415" t="s">
        <v>829</v>
      </c>
      <c r="B415" t="s">
        <v>30</v>
      </c>
      <c r="C415">
        <v>2.7</v>
      </c>
      <c r="D415">
        <v>60</v>
      </c>
      <c r="E415">
        <v>6.9125701370954236</v>
      </c>
      <c r="F415">
        <v>6.2081700502536528</v>
      </c>
      <c r="G415">
        <v>1683.435788201781</v>
      </c>
      <c r="H415">
        <v>0</v>
      </c>
      <c r="I415">
        <v>0.8</v>
      </c>
      <c r="J415" t="b">
        <v>1</v>
      </c>
      <c r="K415">
        <v>1E+19</v>
      </c>
      <c r="L415">
        <v>0.3</v>
      </c>
      <c r="M415" t="b">
        <v>1</v>
      </c>
      <c r="N415">
        <v>100000000000</v>
      </c>
      <c r="O415">
        <v>0.36399260141370737</v>
      </c>
      <c r="P415">
        <v>0.18900829015896459</v>
      </c>
      <c r="Q415">
        <v>0.130352107889705</v>
      </c>
      <c r="R415" t="s">
        <v>856</v>
      </c>
      <c r="S415" t="s">
        <v>857</v>
      </c>
      <c r="T415">
        <v>1.289935148733321</v>
      </c>
      <c r="U415">
        <v>228.1285629878189</v>
      </c>
      <c r="V415">
        <v>199.91215296748291</v>
      </c>
    </row>
    <row r="416" spans="1:26" x14ac:dyDescent="0.2">
      <c r="A416" t="s">
        <v>829</v>
      </c>
      <c r="B416" t="s">
        <v>30</v>
      </c>
      <c r="C416">
        <v>2.7</v>
      </c>
      <c r="D416">
        <v>55</v>
      </c>
      <c r="E416">
        <v>6.9070217310106292</v>
      </c>
      <c r="F416">
        <v>6.210313277917682</v>
      </c>
      <c r="G416">
        <v>1677.9270362017819</v>
      </c>
      <c r="H416">
        <v>0</v>
      </c>
      <c r="I416">
        <v>0.8</v>
      </c>
      <c r="J416" t="b">
        <v>1</v>
      </c>
      <c r="K416">
        <v>1E+21</v>
      </c>
      <c r="L416">
        <v>0.3</v>
      </c>
      <c r="M416" t="b">
        <v>1</v>
      </c>
      <c r="N416">
        <v>100000000000</v>
      </c>
      <c r="O416">
        <v>0.36436749049783979</v>
      </c>
      <c r="P416">
        <v>0.18831941934877089</v>
      </c>
      <c r="Q416">
        <v>0.1298354226327201</v>
      </c>
      <c r="R416" t="s">
        <v>858</v>
      </c>
      <c r="S416" t="s">
        <v>859</v>
      </c>
      <c r="T416">
        <v>1.289935148733321</v>
      </c>
      <c r="U416">
        <v>209.9200417190988</v>
      </c>
      <c r="V416">
        <v>200.00833089492031</v>
      </c>
      <c r="W416">
        <f>VALUE(","&amp;MID(R416,4,10))</f>
        <v>0.1669900429</v>
      </c>
      <c r="X416">
        <f>((O416-0.364)/0.0012)^2+((W416-0.174)/0.016)^2</f>
        <v>0.28573537868864041</v>
      </c>
      <c r="Y416">
        <f>((O416-O$8)/0.0012)^2+((W416-W$8)/0.016)^2</f>
        <v>1.0174840632625162E-2</v>
      </c>
      <c r="Z416" s="5">
        <f>Y416*100</f>
        <v>1.0174840632625162</v>
      </c>
    </row>
    <row r="417" spans="1:26" hidden="1" x14ac:dyDescent="0.2">
      <c r="A417" t="s">
        <v>829</v>
      </c>
      <c r="B417" t="s">
        <v>30</v>
      </c>
      <c r="C417">
        <v>2.7</v>
      </c>
      <c r="D417">
        <v>55</v>
      </c>
      <c r="E417">
        <v>6.9070217310106292</v>
      </c>
      <c r="F417">
        <v>6.210313277917682</v>
      </c>
      <c r="G417">
        <v>1677.9270362017819</v>
      </c>
      <c r="H417">
        <v>0</v>
      </c>
      <c r="I417">
        <v>0.8</v>
      </c>
      <c r="J417" t="b">
        <v>1</v>
      </c>
      <c r="K417">
        <v>1E+20</v>
      </c>
      <c r="L417">
        <v>0.3</v>
      </c>
      <c r="M417" t="b">
        <v>1</v>
      </c>
      <c r="N417">
        <v>100000000000</v>
      </c>
      <c r="O417">
        <v>0.36436749049783979</v>
      </c>
      <c r="P417">
        <v>0.18831941934877089</v>
      </c>
      <c r="Q417">
        <v>0.1298354226327201</v>
      </c>
      <c r="R417" t="s">
        <v>860</v>
      </c>
      <c r="S417" t="s">
        <v>861</v>
      </c>
      <c r="T417">
        <v>1.289935148733321</v>
      </c>
      <c r="U417">
        <v>214.05887204133239</v>
      </c>
      <c r="V417">
        <v>200.00833089492031</v>
      </c>
    </row>
    <row r="418" spans="1:26" hidden="1" x14ac:dyDescent="0.2">
      <c r="A418" t="s">
        <v>829</v>
      </c>
      <c r="B418" t="s">
        <v>30</v>
      </c>
      <c r="C418">
        <v>2.7</v>
      </c>
      <c r="D418">
        <v>55</v>
      </c>
      <c r="E418">
        <v>6.9070217310106292</v>
      </c>
      <c r="F418">
        <v>6.210313277917682</v>
      </c>
      <c r="G418">
        <v>1677.9270362017819</v>
      </c>
      <c r="H418">
        <v>0</v>
      </c>
      <c r="I418">
        <v>0.8</v>
      </c>
      <c r="J418" t="b">
        <v>1</v>
      </c>
      <c r="K418">
        <v>1E+19</v>
      </c>
      <c r="L418">
        <v>0.3</v>
      </c>
      <c r="M418" t="b">
        <v>1</v>
      </c>
      <c r="N418">
        <v>100000000000</v>
      </c>
      <c r="O418">
        <v>0.36436749049783979</v>
      </c>
      <c r="P418">
        <v>0.18831941934877089</v>
      </c>
      <c r="Q418">
        <v>0.1298354226327201</v>
      </c>
      <c r="R418" t="s">
        <v>862</v>
      </c>
      <c r="S418" t="s">
        <v>863</v>
      </c>
      <c r="T418">
        <v>1.289935148733321</v>
      </c>
      <c r="U418">
        <v>228.02050258623169</v>
      </c>
      <c r="V418">
        <v>200.00833089492031</v>
      </c>
    </row>
    <row r="419" spans="1:26" x14ac:dyDescent="0.2">
      <c r="A419" t="s">
        <v>829</v>
      </c>
      <c r="B419" t="s">
        <v>30</v>
      </c>
      <c r="C419">
        <v>2.8</v>
      </c>
      <c r="D419">
        <v>70</v>
      </c>
      <c r="E419">
        <v>6.9081787232098284</v>
      </c>
      <c r="F419">
        <v>6.2081312861350613</v>
      </c>
      <c r="G419">
        <v>1683.2665562017801</v>
      </c>
      <c r="H419">
        <v>0</v>
      </c>
      <c r="I419">
        <v>0.8</v>
      </c>
      <c r="J419" t="b">
        <v>1</v>
      </c>
      <c r="K419">
        <v>1E+21</v>
      </c>
      <c r="L419">
        <v>0.3</v>
      </c>
      <c r="M419" t="b">
        <v>1</v>
      </c>
      <c r="N419">
        <v>100000000000</v>
      </c>
      <c r="O419">
        <v>0.3640453624606047</v>
      </c>
      <c r="P419">
        <v>0.18895103286606349</v>
      </c>
      <c r="Q419">
        <v>0.13037874751189449</v>
      </c>
      <c r="R419" t="s">
        <v>864</v>
      </c>
      <c r="S419" t="s">
        <v>865</v>
      </c>
      <c r="T419">
        <v>1.289935148733321</v>
      </c>
      <c r="U419">
        <v>209.9095932594322</v>
      </c>
      <c r="V419">
        <v>199.92274795512839</v>
      </c>
      <c r="W419">
        <f>VALUE(","&amp;MID(R419,4,10))</f>
        <v>0.1678497763</v>
      </c>
      <c r="X419">
        <f>((O419-0.364)/0.0012)^2+((W419-0.174)/0.016)^2</f>
        <v>0.14918388392871368</v>
      </c>
      <c r="Y419">
        <f>((O419-O$8)/0.0012)^2+((W419-W$8)/0.016)^2</f>
        <v>3.7020607673100885E-2</v>
      </c>
      <c r="Z419" s="5">
        <f>Y419*100</f>
        <v>3.7020607673100883</v>
      </c>
    </row>
    <row r="420" spans="1:26" hidden="1" x14ac:dyDescent="0.2">
      <c r="A420" t="s">
        <v>829</v>
      </c>
      <c r="B420" t="s">
        <v>30</v>
      </c>
      <c r="C420">
        <v>2.8</v>
      </c>
      <c r="D420">
        <v>70</v>
      </c>
      <c r="E420">
        <v>6.9081787232098284</v>
      </c>
      <c r="F420">
        <v>6.2081312861350613</v>
      </c>
      <c r="G420">
        <v>1683.2665562017801</v>
      </c>
      <c r="H420">
        <v>0</v>
      </c>
      <c r="I420">
        <v>0.8</v>
      </c>
      <c r="J420" t="b">
        <v>1</v>
      </c>
      <c r="K420">
        <v>1E+20</v>
      </c>
      <c r="L420">
        <v>0.3</v>
      </c>
      <c r="M420" t="b">
        <v>1</v>
      </c>
      <c r="N420">
        <v>100000000000</v>
      </c>
      <c r="O420">
        <v>0.3640453624606047</v>
      </c>
      <c r="P420">
        <v>0.18895103286606349</v>
      </c>
      <c r="Q420">
        <v>0.13037874751189449</v>
      </c>
      <c r="R420" t="s">
        <v>866</v>
      </c>
      <c r="S420" t="s">
        <v>867</v>
      </c>
      <c r="T420">
        <v>1.289935148733321</v>
      </c>
      <c r="U420">
        <v>214.03848747618801</v>
      </c>
      <c r="V420">
        <v>199.92274795512839</v>
      </c>
    </row>
    <row r="421" spans="1:26" hidden="1" x14ac:dyDescent="0.2">
      <c r="A421" t="s">
        <v>829</v>
      </c>
      <c r="B421" t="s">
        <v>30</v>
      </c>
      <c r="C421">
        <v>2.8</v>
      </c>
      <c r="D421">
        <v>70</v>
      </c>
      <c r="E421">
        <v>6.9081787232098284</v>
      </c>
      <c r="F421">
        <v>6.2081312861350613</v>
      </c>
      <c r="G421">
        <v>1683.2665562017801</v>
      </c>
      <c r="H421">
        <v>0</v>
      </c>
      <c r="I421">
        <v>0.8</v>
      </c>
      <c r="J421" t="b">
        <v>1</v>
      </c>
      <c r="K421">
        <v>1E+19</v>
      </c>
      <c r="L421">
        <v>0.3</v>
      </c>
      <c r="M421" t="b">
        <v>1</v>
      </c>
      <c r="N421">
        <v>100000000000</v>
      </c>
      <c r="O421">
        <v>0.3640453624606047</v>
      </c>
      <c r="P421">
        <v>0.18895103286606349</v>
      </c>
      <c r="Q421">
        <v>0.13037874751189449</v>
      </c>
      <c r="R421" t="s">
        <v>868</v>
      </c>
      <c r="S421" t="s">
        <v>869</v>
      </c>
      <c r="T421">
        <v>1.289935148733321</v>
      </c>
      <c r="U421">
        <v>228.0690725383833</v>
      </c>
      <c r="V421">
        <v>199.92274795512839</v>
      </c>
    </row>
    <row r="422" spans="1:26" s="4" customFormat="1" x14ac:dyDescent="0.2">
      <c r="A422" s="4" t="s">
        <v>829</v>
      </c>
      <c r="B422" s="4" t="s">
        <v>30</v>
      </c>
      <c r="C422" s="4">
        <v>2.8</v>
      </c>
      <c r="D422" s="4">
        <v>65</v>
      </c>
      <c r="E422" s="4">
        <v>6.9112427866800701</v>
      </c>
      <c r="F422" s="4">
        <v>6.2102484200743504</v>
      </c>
      <c r="G422" s="4">
        <v>1678.096796201781</v>
      </c>
      <c r="H422" s="4">
        <v>0</v>
      </c>
      <c r="I422" s="4">
        <v>0.8</v>
      </c>
      <c r="J422" s="4" t="b">
        <v>1</v>
      </c>
      <c r="K422" s="4">
        <v>1E+21</v>
      </c>
      <c r="L422" s="4">
        <v>0.3</v>
      </c>
      <c r="M422" s="4" t="b">
        <v>1</v>
      </c>
      <c r="N422" s="4">
        <v>100000000000</v>
      </c>
      <c r="O422" s="4">
        <v>0.3643533825551567</v>
      </c>
      <c r="P422" s="4">
        <v>0.1883813598881931</v>
      </c>
      <c r="Q422" s="4">
        <v>0.12987037459076661</v>
      </c>
      <c r="R422" s="4" t="s">
        <v>870</v>
      </c>
      <c r="S422" s="4" t="s">
        <v>871</v>
      </c>
      <c r="T422" s="4">
        <v>1.289935148733321</v>
      </c>
      <c r="U422" s="4">
        <v>209.91786222047031</v>
      </c>
      <c r="V422" s="4">
        <v>200.00859471274171</v>
      </c>
      <c r="W422" s="4">
        <f>VALUE(","&amp;MID(R422,4,10))</f>
        <v>0.16704349139999999</v>
      </c>
      <c r="X422" s="4">
        <f>((O422-0.364)/0.0012)^2+((W422-0.174)/0.016)^2</f>
        <v>0.27575689044244922</v>
      </c>
      <c r="Y422" s="4">
        <f>((O422-O$8)/0.0012)^2+((W422-W$8)/0.016)^2</f>
        <v>8.0875494106385903E-3</v>
      </c>
      <c r="Z422" s="6">
        <f>Y422*100</f>
        <v>0.80875494106385903</v>
      </c>
    </row>
    <row r="423" spans="1:26" hidden="1" x14ac:dyDescent="0.2">
      <c r="A423" t="s">
        <v>829</v>
      </c>
      <c r="B423" t="s">
        <v>30</v>
      </c>
      <c r="C423">
        <v>2.8</v>
      </c>
      <c r="D423">
        <v>65</v>
      </c>
      <c r="E423">
        <v>6.9112427866800701</v>
      </c>
      <c r="F423">
        <v>6.2102484200743504</v>
      </c>
      <c r="G423">
        <v>1678.096796201781</v>
      </c>
      <c r="H423">
        <v>0</v>
      </c>
      <c r="I423">
        <v>0.8</v>
      </c>
      <c r="J423" t="b">
        <v>1</v>
      </c>
      <c r="K423">
        <v>1E+20</v>
      </c>
      <c r="L423">
        <v>0.3</v>
      </c>
      <c r="M423" t="b">
        <v>1</v>
      </c>
      <c r="N423">
        <v>100000000000</v>
      </c>
      <c r="O423">
        <v>0.3643533825551567</v>
      </c>
      <c r="P423">
        <v>0.1883813598881931</v>
      </c>
      <c r="Q423">
        <v>0.12987037459076661</v>
      </c>
      <c r="R423" t="s">
        <v>872</v>
      </c>
      <c r="S423" t="s">
        <v>873</v>
      </c>
      <c r="T423">
        <v>1.289935148733321</v>
      </c>
      <c r="U423">
        <v>214.04564375021519</v>
      </c>
      <c r="V423">
        <v>200.00859471274171</v>
      </c>
    </row>
    <row r="424" spans="1:26" hidden="1" x14ac:dyDescent="0.2">
      <c r="A424" t="s">
        <v>829</v>
      </c>
      <c r="B424" t="s">
        <v>30</v>
      </c>
      <c r="C424">
        <v>2.8</v>
      </c>
      <c r="D424">
        <v>65</v>
      </c>
      <c r="E424">
        <v>6.9112427866800701</v>
      </c>
      <c r="F424">
        <v>6.2102484200743504</v>
      </c>
      <c r="G424">
        <v>1678.096796201781</v>
      </c>
      <c r="H424">
        <v>0</v>
      </c>
      <c r="I424">
        <v>0.8</v>
      </c>
      <c r="J424" t="b">
        <v>1</v>
      </c>
      <c r="K424">
        <v>1E+19</v>
      </c>
      <c r="L424">
        <v>0.3</v>
      </c>
      <c r="M424" t="b">
        <v>1</v>
      </c>
      <c r="N424">
        <v>100000000000</v>
      </c>
      <c r="O424">
        <v>0.3643533825551567</v>
      </c>
      <c r="P424">
        <v>0.1883813598881931</v>
      </c>
      <c r="Q424">
        <v>0.12987037459076661</v>
      </c>
      <c r="R424" t="s">
        <v>874</v>
      </c>
      <c r="S424" t="s">
        <v>875</v>
      </c>
      <c r="T424">
        <v>1.289935148733321</v>
      </c>
      <c r="U424">
        <v>227.9590972426719</v>
      </c>
      <c r="V424">
        <v>200.00859471274171</v>
      </c>
    </row>
    <row r="425" spans="1:26" hidden="1" x14ac:dyDescent="0.2">
      <c r="A425" t="s">
        <v>829</v>
      </c>
      <c r="B425" t="s">
        <v>30</v>
      </c>
      <c r="C425">
        <v>2.7</v>
      </c>
      <c r="D425">
        <v>60</v>
      </c>
      <c r="E425">
        <v>7.0614320248057876</v>
      </c>
      <c r="F425">
        <v>6.3680749034113129</v>
      </c>
      <c r="G425">
        <v>1648.742436534593</v>
      </c>
      <c r="H425">
        <v>0</v>
      </c>
      <c r="I425">
        <v>0.7</v>
      </c>
      <c r="J425" t="b">
        <v>1</v>
      </c>
      <c r="K425">
        <v>1E+19</v>
      </c>
      <c r="L425">
        <v>0.3</v>
      </c>
      <c r="M425" t="b">
        <v>1</v>
      </c>
      <c r="N425">
        <v>100000000000</v>
      </c>
      <c r="O425">
        <v>0.36371847673491581</v>
      </c>
      <c r="P425">
        <v>0.18618248905598839</v>
      </c>
      <c r="Q425">
        <v>0.1256824924401532</v>
      </c>
      <c r="R425" t="s">
        <v>876</v>
      </c>
      <c r="S425" t="s">
        <v>877</v>
      </c>
      <c r="T425">
        <v>1.289935148733321</v>
      </c>
      <c r="U425">
        <v>226.24145261382799</v>
      </c>
      <c r="V425">
        <v>199.98793565769171</v>
      </c>
    </row>
    <row r="426" spans="1:26" hidden="1" x14ac:dyDescent="0.2">
      <c r="A426" t="s">
        <v>829</v>
      </c>
      <c r="B426" t="s">
        <v>30</v>
      </c>
      <c r="C426">
        <v>2.7</v>
      </c>
      <c r="D426">
        <v>55</v>
      </c>
      <c r="E426">
        <v>7.0559540957432239</v>
      </c>
      <c r="F426">
        <v>6.3700403601954001</v>
      </c>
      <c r="G426">
        <v>1643.352946811453</v>
      </c>
      <c r="H426">
        <v>0</v>
      </c>
      <c r="I426">
        <v>0.7</v>
      </c>
      <c r="J426" t="b">
        <v>1</v>
      </c>
      <c r="K426">
        <v>1E+19</v>
      </c>
      <c r="L426">
        <v>0.3</v>
      </c>
      <c r="M426" t="b">
        <v>1</v>
      </c>
      <c r="N426">
        <v>100000000000</v>
      </c>
      <c r="O426">
        <v>0.36409770708042338</v>
      </c>
      <c r="P426">
        <v>0.18551134050808471</v>
      </c>
      <c r="Q426">
        <v>0.1252313040077018</v>
      </c>
      <c r="R426" t="s">
        <v>878</v>
      </c>
      <c r="S426" t="s">
        <v>879</v>
      </c>
      <c r="T426">
        <v>1.289935148733321</v>
      </c>
      <c r="U426">
        <v>226.1840820256181</v>
      </c>
      <c r="V426">
        <v>200.08086349845831</v>
      </c>
    </row>
    <row r="427" spans="1:26" hidden="1" x14ac:dyDescent="0.2">
      <c r="A427" t="s">
        <v>829</v>
      </c>
      <c r="B427" t="s">
        <v>30</v>
      </c>
      <c r="C427">
        <v>2.7</v>
      </c>
      <c r="D427">
        <v>50</v>
      </c>
      <c r="E427">
        <v>7.0563482387870238</v>
      </c>
      <c r="F427">
        <v>6.3722017878781854</v>
      </c>
      <c r="G427">
        <v>1637.5789949638961</v>
      </c>
      <c r="H427">
        <v>0</v>
      </c>
      <c r="I427">
        <v>0.7</v>
      </c>
      <c r="J427" t="b">
        <v>1</v>
      </c>
      <c r="K427">
        <v>1E+19</v>
      </c>
      <c r="L427">
        <v>0.3</v>
      </c>
      <c r="M427" t="b">
        <v>1</v>
      </c>
      <c r="N427">
        <v>100000000000</v>
      </c>
      <c r="O427">
        <v>0.36447299707491793</v>
      </c>
      <c r="P427">
        <v>0.18485330862277649</v>
      </c>
      <c r="Q427">
        <v>0.1247460119671442</v>
      </c>
      <c r="R427" t="s">
        <v>880</v>
      </c>
      <c r="S427" t="s">
        <v>881</v>
      </c>
      <c r="T427">
        <v>1.289935148733321</v>
      </c>
      <c r="U427">
        <v>226.0163297584063</v>
      </c>
      <c r="V427">
        <v>200.17735159869881</v>
      </c>
    </row>
    <row r="428" spans="1:26" hidden="1" x14ac:dyDescent="0.2">
      <c r="A428" t="s">
        <v>829</v>
      </c>
      <c r="B428" t="s">
        <v>30</v>
      </c>
      <c r="C428">
        <v>2.8</v>
      </c>
      <c r="D428">
        <v>70</v>
      </c>
      <c r="E428">
        <v>7.0609740347035599</v>
      </c>
      <c r="F428">
        <v>6.3681653364309758</v>
      </c>
      <c r="G428">
        <v>1648.346358843547</v>
      </c>
      <c r="H428">
        <v>0</v>
      </c>
      <c r="I428">
        <v>0.7</v>
      </c>
      <c r="J428" t="b">
        <v>1</v>
      </c>
      <c r="K428">
        <v>1E+19</v>
      </c>
      <c r="L428">
        <v>0.3</v>
      </c>
      <c r="M428" t="b">
        <v>1</v>
      </c>
      <c r="N428">
        <v>100000000000</v>
      </c>
      <c r="O428">
        <v>0.36376693165326329</v>
      </c>
      <c r="P428">
        <v>0.18613580923440551</v>
      </c>
      <c r="Q428">
        <v>0.12569409745029311</v>
      </c>
      <c r="R428" t="s">
        <v>882</v>
      </c>
      <c r="S428" t="s">
        <v>883</v>
      </c>
      <c r="T428">
        <v>1.289935148733321</v>
      </c>
      <c r="U428">
        <v>226.1837078921439</v>
      </c>
      <c r="V428">
        <v>200.00261716247471</v>
      </c>
    </row>
    <row r="429" spans="1:26" hidden="1" x14ac:dyDescent="0.2">
      <c r="A429" t="s">
        <v>829</v>
      </c>
      <c r="B429" t="s">
        <v>30</v>
      </c>
      <c r="C429">
        <v>2.8</v>
      </c>
      <c r="D429">
        <v>65</v>
      </c>
      <c r="E429">
        <v>7.0563112640041723</v>
      </c>
      <c r="F429">
        <v>6.3698495674768134</v>
      </c>
      <c r="G429">
        <v>1643.7460342172881</v>
      </c>
      <c r="H429">
        <v>0</v>
      </c>
      <c r="I429">
        <v>0.7</v>
      </c>
      <c r="J429" t="b">
        <v>1</v>
      </c>
      <c r="K429">
        <v>1E+19</v>
      </c>
      <c r="L429">
        <v>0.3</v>
      </c>
      <c r="M429" t="b">
        <v>1</v>
      </c>
      <c r="N429">
        <v>100000000000</v>
      </c>
      <c r="O429">
        <v>0.36408780129002022</v>
      </c>
      <c r="P429">
        <v>0.1855625944824171</v>
      </c>
      <c r="Q429">
        <v>0.1252801115659217</v>
      </c>
      <c r="R429" t="s">
        <v>884</v>
      </c>
      <c r="S429" t="s">
        <v>885</v>
      </c>
      <c r="T429">
        <v>1.289935148733321</v>
      </c>
      <c r="U429">
        <v>226.11525632279731</v>
      </c>
      <c r="V429">
        <v>200.0769677233784</v>
      </c>
    </row>
    <row r="430" spans="1:26" hidden="1" x14ac:dyDescent="0.2">
      <c r="A430" t="s">
        <v>829</v>
      </c>
      <c r="B430" t="s">
        <v>30</v>
      </c>
      <c r="C430">
        <v>2.8</v>
      </c>
      <c r="D430">
        <v>60</v>
      </c>
      <c r="E430">
        <v>7.0575303611037361</v>
      </c>
      <c r="F430">
        <v>6.3717307294339411</v>
      </c>
      <c r="G430">
        <v>1638.773374458234</v>
      </c>
      <c r="H430">
        <v>0</v>
      </c>
      <c r="I430">
        <v>0.7</v>
      </c>
      <c r="J430" t="b">
        <v>1</v>
      </c>
      <c r="K430">
        <v>1E+19</v>
      </c>
      <c r="L430">
        <v>0.3</v>
      </c>
      <c r="M430" t="b">
        <v>1</v>
      </c>
      <c r="N430">
        <v>100000000000</v>
      </c>
      <c r="O430">
        <v>0.36440413514157349</v>
      </c>
      <c r="P430">
        <v>0.18500373008920359</v>
      </c>
      <c r="Q430">
        <v>0.12486876156143389</v>
      </c>
      <c r="R430" t="s">
        <v>886</v>
      </c>
      <c r="S430" t="s">
        <v>887</v>
      </c>
      <c r="T430">
        <v>1.289935148733321</v>
      </c>
      <c r="U430">
        <v>226.10372045092529</v>
      </c>
      <c r="V430">
        <v>200.16145867874059</v>
      </c>
    </row>
    <row r="431" spans="1:26" hidden="1" x14ac:dyDescent="0.2">
      <c r="A431" t="s">
        <v>829</v>
      </c>
      <c r="B431" t="s">
        <v>30</v>
      </c>
      <c r="C431">
        <v>2.9</v>
      </c>
      <c r="D431">
        <v>70</v>
      </c>
      <c r="E431">
        <v>7.0554649249881063</v>
      </c>
      <c r="F431">
        <v>6.3723941837055174</v>
      </c>
      <c r="G431">
        <v>1636.7907527369221</v>
      </c>
      <c r="H431">
        <v>0</v>
      </c>
      <c r="I431">
        <v>0.7</v>
      </c>
      <c r="J431" t="b">
        <v>1</v>
      </c>
      <c r="K431">
        <v>1E+19</v>
      </c>
      <c r="L431">
        <v>0.3</v>
      </c>
      <c r="M431" t="b">
        <v>1</v>
      </c>
      <c r="N431">
        <v>100000000000</v>
      </c>
      <c r="O431">
        <v>0.36456248395994678</v>
      </c>
      <c r="P431">
        <v>0.18475983938278259</v>
      </c>
      <c r="Q431">
        <v>0.124711438734983</v>
      </c>
      <c r="R431" t="s">
        <v>888</v>
      </c>
      <c r="S431" t="s">
        <v>889</v>
      </c>
      <c r="T431">
        <v>1.289935148733321</v>
      </c>
      <c r="U431">
        <v>225.93241895937479</v>
      </c>
      <c r="V431">
        <v>200.19593617869589</v>
      </c>
    </row>
    <row r="432" spans="1:26" hidden="1" x14ac:dyDescent="0.2">
      <c r="A432" t="s">
        <v>829</v>
      </c>
      <c r="B432" t="s">
        <v>30</v>
      </c>
      <c r="C432">
        <v>2.7</v>
      </c>
      <c r="D432">
        <v>60</v>
      </c>
      <c r="E432">
        <v>7.2294362391110214</v>
      </c>
      <c r="F432">
        <v>6.5471236832295947</v>
      </c>
      <c r="G432">
        <v>1612.824250449263</v>
      </c>
      <c r="H432">
        <v>0</v>
      </c>
      <c r="I432">
        <v>0.6</v>
      </c>
      <c r="J432" t="b">
        <v>1</v>
      </c>
      <c r="K432">
        <v>1E+18</v>
      </c>
      <c r="L432">
        <v>0.3</v>
      </c>
      <c r="M432" t="b">
        <v>1</v>
      </c>
      <c r="N432">
        <v>100000000000</v>
      </c>
      <c r="O432">
        <v>0.36343973786841521</v>
      </c>
      <c r="P432">
        <v>0.18294396972434501</v>
      </c>
      <c r="Q432">
        <v>0.1211371153511747</v>
      </c>
      <c r="R432" t="s">
        <v>890</v>
      </c>
      <c r="S432" t="s">
        <v>891</v>
      </c>
      <c r="T432">
        <v>1.289935148733321</v>
      </c>
      <c r="U432">
        <v>288.29396469847939</v>
      </c>
      <c r="V432">
        <v>200.05386662222551</v>
      </c>
    </row>
    <row r="433" spans="1:22" hidden="1" x14ac:dyDescent="0.2">
      <c r="A433" t="s">
        <v>829</v>
      </c>
      <c r="B433" t="s">
        <v>30</v>
      </c>
      <c r="C433">
        <v>2.7</v>
      </c>
      <c r="D433">
        <v>55</v>
      </c>
      <c r="E433">
        <v>7.2297671552831133</v>
      </c>
      <c r="F433">
        <v>6.5490972499683169</v>
      </c>
      <c r="G433">
        <v>1607.225525639336</v>
      </c>
      <c r="H433">
        <v>0</v>
      </c>
      <c r="I433">
        <v>0.6</v>
      </c>
      <c r="J433" t="b">
        <v>1</v>
      </c>
      <c r="K433">
        <v>1E+18</v>
      </c>
      <c r="L433">
        <v>0.3</v>
      </c>
      <c r="M433" t="b">
        <v>1</v>
      </c>
      <c r="N433">
        <v>100000000000</v>
      </c>
      <c r="O433">
        <v>0.36381728382096612</v>
      </c>
      <c r="P433">
        <v>0.18231020282801319</v>
      </c>
      <c r="Q433">
        <v>0.1206793616017119</v>
      </c>
      <c r="R433" t="s">
        <v>892</v>
      </c>
      <c r="S433" t="s">
        <v>893</v>
      </c>
      <c r="T433">
        <v>1.289935148733321</v>
      </c>
      <c r="U433">
        <v>284.56292531012991</v>
      </c>
      <c r="V433">
        <v>200.14129752070451</v>
      </c>
    </row>
    <row r="434" spans="1:22" hidden="1" x14ac:dyDescent="0.2">
      <c r="A434" t="s">
        <v>829</v>
      </c>
      <c r="B434" t="s">
        <v>30</v>
      </c>
      <c r="C434">
        <v>2.7</v>
      </c>
      <c r="D434">
        <v>50</v>
      </c>
      <c r="E434">
        <v>7.2240824845609612</v>
      </c>
      <c r="F434">
        <v>6.5508659382241357</v>
      </c>
      <c r="G434">
        <v>1601.9279075470649</v>
      </c>
      <c r="H434">
        <v>0</v>
      </c>
      <c r="I434">
        <v>0.6</v>
      </c>
      <c r="J434" t="b">
        <v>1</v>
      </c>
      <c r="K434">
        <v>1E+18</v>
      </c>
      <c r="L434">
        <v>0.3</v>
      </c>
      <c r="M434" t="b">
        <v>1</v>
      </c>
      <c r="N434">
        <v>100000000000</v>
      </c>
      <c r="O434">
        <v>0.36420379740158509</v>
      </c>
      <c r="P434">
        <v>0.1816531587580886</v>
      </c>
      <c r="Q434">
        <v>0.1202604240748681</v>
      </c>
      <c r="R434" t="s">
        <v>894</v>
      </c>
      <c r="S434" t="s">
        <v>895</v>
      </c>
      <c r="T434">
        <v>1.289935148733321</v>
      </c>
      <c r="U434">
        <v>285.44307220831178</v>
      </c>
      <c r="V434">
        <v>200.22452780398669</v>
      </c>
    </row>
    <row r="435" spans="1:22" hidden="1" x14ac:dyDescent="0.2">
      <c r="A435" t="s">
        <v>829</v>
      </c>
      <c r="B435" t="s">
        <v>30</v>
      </c>
      <c r="C435">
        <v>2.7</v>
      </c>
      <c r="D435">
        <v>45</v>
      </c>
      <c r="E435">
        <v>7.224118023070246</v>
      </c>
      <c r="F435">
        <v>6.552815376267823</v>
      </c>
      <c r="G435">
        <v>1596.262939460574</v>
      </c>
      <c r="H435">
        <v>0</v>
      </c>
      <c r="I435">
        <v>0.6</v>
      </c>
      <c r="J435" t="b">
        <v>1</v>
      </c>
      <c r="K435">
        <v>1E+18</v>
      </c>
      <c r="L435">
        <v>0.3</v>
      </c>
      <c r="M435" t="b">
        <v>1</v>
      </c>
      <c r="N435">
        <v>100000000000</v>
      </c>
      <c r="O435">
        <v>0.364586844960197</v>
      </c>
      <c r="P435">
        <v>0.18101155385045731</v>
      </c>
      <c r="Q435">
        <v>0.1198088795273133</v>
      </c>
      <c r="R435" t="s">
        <v>896</v>
      </c>
      <c r="S435" t="s">
        <v>897</v>
      </c>
      <c r="T435">
        <v>1.289935148733321</v>
      </c>
      <c r="U435">
        <v>281.60729264279593</v>
      </c>
      <c r="V435">
        <v>200.31042332198129</v>
      </c>
    </row>
    <row r="436" spans="1:22" hidden="1" x14ac:dyDescent="0.2">
      <c r="A436" t="s">
        <v>829</v>
      </c>
      <c r="B436" t="s">
        <v>30</v>
      </c>
      <c r="C436">
        <v>2.8</v>
      </c>
      <c r="D436">
        <v>70</v>
      </c>
      <c r="E436">
        <v>7.2289698423664399</v>
      </c>
      <c r="F436">
        <v>6.5472015526575316</v>
      </c>
      <c r="G436">
        <v>1612.437222067997</v>
      </c>
      <c r="H436">
        <v>0</v>
      </c>
      <c r="I436">
        <v>0.6</v>
      </c>
      <c r="J436" t="b">
        <v>1</v>
      </c>
      <c r="K436">
        <v>1E+18</v>
      </c>
      <c r="L436">
        <v>0.3</v>
      </c>
      <c r="M436" t="b">
        <v>1</v>
      </c>
      <c r="N436">
        <v>100000000000</v>
      </c>
      <c r="O436">
        <v>0.36348853278012128</v>
      </c>
      <c r="P436">
        <v>0.18289852194084991</v>
      </c>
      <c r="Q436">
        <v>0.1211337381632014</v>
      </c>
      <c r="R436" t="s">
        <v>898</v>
      </c>
      <c r="S436" t="s">
        <v>899</v>
      </c>
      <c r="T436">
        <v>1.289935148733321</v>
      </c>
      <c r="U436">
        <v>286.70022939208502</v>
      </c>
      <c r="V436">
        <v>200.06491451599999</v>
      </c>
    </row>
    <row r="437" spans="1:22" hidden="1" x14ac:dyDescent="0.2">
      <c r="A437" t="s">
        <v>829</v>
      </c>
      <c r="B437" t="s">
        <v>30</v>
      </c>
      <c r="C437">
        <v>2.8</v>
      </c>
      <c r="D437">
        <v>65</v>
      </c>
      <c r="E437">
        <v>7.2301419362905328</v>
      </c>
      <c r="F437">
        <v>6.5489214447406336</v>
      </c>
      <c r="G437">
        <v>1607.6087301198411</v>
      </c>
      <c r="H437">
        <v>0</v>
      </c>
      <c r="I437">
        <v>0.6</v>
      </c>
      <c r="J437" t="b">
        <v>1</v>
      </c>
      <c r="K437">
        <v>1E+18</v>
      </c>
      <c r="L437">
        <v>0.3</v>
      </c>
      <c r="M437" t="b">
        <v>1</v>
      </c>
      <c r="N437">
        <v>100000000000</v>
      </c>
      <c r="O437">
        <v>0.36380703048536472</v>
      </c>
      <c r="P437">
        <v>0.1823600972512483</v>
      </c>
      <c r="Q437">
        <v>0.1207346468525097</v>
      </c>
      <c r="R437" t="s">
        <v>900</v>
      </c>
      <c r="S437" t="s">
        <v>901</v>
      </c>
      <c r="T437">
        <v>1.289935148733321</v>
      </c>
      <c r="U437">
        <v>286.98416351644153</v>
      </c>
      <c r="V437">
        <v>200.13953694899411</v>
      </c>
    </row>
    <row r="438" spans="1:22" hidden="1" x14ac:dyDescent="0.2">
      <c r="A438" t="s">
        <v>829</v>
      </c>
      <c r="B438" t="s">
        <v>30</v>
      </c>
      <c r="C438">
        <v>2.8</v>
      </c>
      <c r="D438">
        <v>60</v>
      </c>
      <c r="E438">
        <v>7.2253014178432444</v>
      </c>
      <c r="F438">
        <v>6.5504375103378383</v>
      </c>
      <c r="G438">
        <v>1603.0930600580441</v>
      </c>
      <c r="H438">
        <v>0</v>
      </c>
      <c r="I438">
        <v>0.6</v>
      </c>
      <c r="J438" t="b">
        <v>1</v>
      </c>
      <c r="K438">
        <v>1E+18</v>
      </c>
      <c r="L438">
        <v>0.3</v>
      </c>
      <c r="M438" t="b">
        <v>1</v>
      </c>
      <c r="N438">
        <v>100000000000</v>
      </c>
      <c r="O438">
        <v>0.36413392200270178</v>
      </c>
      <c r="P438">
        <v>0.18179957996202301</v>
      </c>
      <c r="Q438">
        <v>0.1203747970328104</v>
      </c>
      <c r="R438" t="s">
        <v>902</v>
      </c>
      <c r="S438" t="s">
        <v>903</v>
      </c>
      <c r="T438">
        <v>1.289935148733321</v>
      </c>
      <c r="U438">
        <v>283.4043398873236</v>
      </c>
      <c r="V438">
        <v>200.2102615637028</v>
      </c>
    </row>
    <row r="439" spans="1:22" hidden="1" x14ac:dyDescent="0.2">
      <c r="A439" t="s">
        <v>829</v>
      </c>
      <c r="B439" t="s">
        <v>30</v>
      </c>
      <c r="C439">
        <v>2.8</v>
      </c>
      <c r="D439">
        <v>55</v>
      </c>
      <c r="E439">
        <v>7.2204485926282373</v>
      </c>
      <c r="F439">
        <v>6.5519493584317887</v>
      </c>
      <c r="G439">
        <v>1598.551012762355</v>
      </c>
      <c r="H439">
        <v>0</v>
      </c>
      <c r="I439">
        <v>0.6</v>
      </c>
      <c r="J439" t="b">
        <v>1</v>
      </c>
      <c r="K439">
        <v>1E+18</v>
      </c>
      <c r="L439">
        <v>0.3</v>
      </c>
      <c r="M439" t="b">
        <v>1</v>
      </c>
      <c r="N439">
        <v>100000000000</v>
      </c>
      <c r="O439">
        <v>0.36446277298789409</v>
      </c>
      <c r="P439">
        <v>0.18123648947210599</v>
      </c>
      <c r="Q439">
        <v>0.1200175708597655</v>
      </c>
      <c r="R439" t="s">
        <v>904</v>
      </c>
      <c r="S439" t="s">
        <v>905</v>
      </c>
      <c r="T439">
        <v>1.289935148733321</v>
      </c>
      <c r="U439">
        <v>284.19401743689372</v>
      </c>
      <c r="V439">
        <v>200.28068836832361</v>
      </c>
    </row>
    <row r="440" spans="1:22" hidden="1" x14ac:dyDescent="0.2">
      <c r="A440" t="s">
        <v>829</v>
      </c>
      <c r="B440" t="s">
        <v>30</v>
      </c>
      <c r="C440">
        <v>2.9</v>
      </c>
      <c r="D440">
        <v>70</v>
      </c>
      <c r="E440">
        <v>7.2231758436321432</v>
      </c>
      <c r="F440">
        <v>6.551031850611218</v>
      </c>
      <c r="G440">
        <v>1601.1583525871399</v>
      </c>
      <c r="H440">
        <v>0</v>
      </c>
      <c r="I440">
        <v>0.6</v>
      </c>
      <c r="J440" t="b">
        <v>1</v>
      </c>
      <c r="K440">
        <v>1E+18</v>
      </c>
      <c r="L440">
        <v>0.3</v>
      </c>
      <c r="M440" t="b">
        <v>1</v>
      </c>
      <c r="N440">
        <v>100000000000</v>
      </c>
      <c r="O440">
        <v>0.36429394999762038</v>
      </c>
      <c r="P440">
        <v>0.18156213562991669</v>
      </c>
      <c r="Q440">
        <v>0.1202788427613775</v>
      </c>
      <c r="R440" t="s">
        <v>906</v>
      </c>
      <c r="S440" t="s">
        <v>907</v>
      </c>
      <c r="T440">
        <v>1.289935148733321</v>
      </c>
      <c r="U440">
        <v>283.68892577991932</v>
      </c>
      <c r="V440">
        <v>200.25013720597991</v>
      </c>
    </row>
    <row r="441" spans="1:22" hidden="1" x14ac:dyDescent="0.2">
      <c r="A441" t="s">
        <v>829</v>
      </c>
      <c r="B441" t="s">
        <v>30</v>
      </c>
      <c r="C441">
        <v>2.9</v>
      </c>
      <c r="D441">
        <v>65</v>
      </c>
      <c r="E441">
        <v>7.2249130823455809</v>
      </c>
      <c r="F441">
        <v>6.5524785340791372</v>
      </c>
      <c r="G441">
        <v>1597.0534804931681</v>
      </c>
      <c r="H441">
        <v>0</v>
      </c>
      <c r="I441">
        <v>0.6</v>
      </c>
      <c r="J441" t="b">
        <v>1</v>
      </c>
      <c r="K441">
        <v>1E+18</v>
      </c>
      <c r="L441">
        <v>0.3</v>
      </c>
      <c r="M441" t="b">
        <v>1</v>
      </c>
      <c r="N441">
        <v>100000000000</v>
      </c>
      <c r="O441">
        <v>0.36455852343518491</v>
      </c>
      <c r="P441">
        <v>0.1811133218963509</v>
      </c>
      <c r="Q441">
        <v>0.1199162699889804</v>
      </c>
      <c r="R441" t="s">
        <v>908</v>
      </c>
      <c r="S441" t="s">
        <v>909</v>
      </c>
      <c r="T441">
        <v>1.289935148733321</v>
      </c>
      <c r="U441">
        <v>281.71002523154681</v>
      </c>
      <c r="V441">
        <v>200.30624687686139</v>
      </c>
    </row>
    <row r="442" spans="1:22" hidden="1" x14ac:dyDescent="0.2">
      <c r="A442" t="s">
        <v>829</v>
      </c>
      <c r="B442" t="s">
        <v>30</v>
      </c>
      <c r="C442">
        <v>2.7</v>
      </c>
      <c r="D442">
        <v>55</v>
      </c>
      <c r="E442">
        <v>7.4170743522026887</v>
      </c>
      <c r="F442">
        <v>6.7510122214582813</v>
      </c>
      <c r="G442">
        <v>1570.2237362046069</v>
      </c>
      <c r="H442">
        <v>0</v>
      </c>
      <c r="I442">
        <v>0.5</v>
      </c>
      <c r="J442" t="b">
        <v>1</v>
      </c>
      <c r="K442">
        <v>1E+18</v>
      </c>
      <c r="L442">
        <v>0.3</v>
      </c>
      <c r="M442" t="b">
        <v>1</v>
      </c>
      <c r="N442">
        <v>100000000000</v>
      </c>
      <c r="O442">
        <v>0.3635419646726602</v>
      </c>
      <c r="P442">
        <v>0.17850936490416119</v>
      </c>
      <c r="Q442">
        <v>0.1162898716317922</v>
      </c>
      <c r="R442" t="s">
        <v>910</v>
      </c>
      <c r="S442" t="s">
        <v>911</v>
      </c>
      <c r="T442">
        <v>1.289935148733321</v>
      </c>
      <c r="U442">
        <v>284.82526347614453</v>
      </c>
      <c r="V442">
        <v>200.18496949834139</v>
      </c>
    </row>
    <row r="443" spans="1:22" hidden="1" x14ac:dyDescent="0.2">
      <c r="A443" t="s">
        <v>829</v>
      </c>
      <c r="B443" t="s">
        <v>30</v>
      </c>
      <c r="C443">
        <v>2.7</v>
      </c>
      <c r="D443">
        <v>50</v>
      </c>
      <c r="E443">
        <v>7.4171084559104097</v>
      </c>
      <c r="F443">
        <v>6.7527726510236814</v>
      </c>
      <c r="G443">
        <v>1564.730949530817</v>
      </c>
      <c r="H443">
        <v>0</v>
      </c>
      <c r="I443">
        <v>0.5</v>
      </c>
      <c r="J443" t="b">
        <v>1</v>
      </c>
      <c r="K443">
        <v>1E+18</v>
      </c>
      <c r="L443">
        <v>0.3</v>
      </c>
      <c r="M443" t="b">
        <v>1</v>
      </c>
      <c r="N443">
        <v>100000000000</v>
      </c>
      <c r="O443">
        <v>0.3639272322407428</v>
      </c>
      <c r="P443">
        <v>0.17789379190181129</v>
      </c>
      <c r="Q443">
        <v>0.1158574739866933</v>
      </c>
      <c r="R443" t="s">
        <v>912</v>
      </c>
      <c r="S443" t="s">
        <v>913</v>
      </c>
      <c r="T443">
        <v>1.289935148733321</v>
      </c>
      <c r="U443">
        <v>276.53089187295541</v>
      </c>
      <c r="V443">
        <v>200.26128128615471</v>
      </c>
    </row>
    <row r="444" spans="1:22" hidden="1" x14ac:dyDescent="0.2">
      <c r="A444" t="s">
        <v>829</v>
      </c>
      <c r="B444" t="s">
        <v>30</v>
      </c>
      <c r="C444">
        <v>2.7</v>
      </c>
      <c r="D444">
        <v>45</v>
      </c>
      <c r="E444">
        <v>7.4109538517820646</v>
      </c>
      <c r="F444">
        <v>6.7543357345799819</v>
      </c>
      <c r="G444">
        <v>1559.5405975872391</v>
      </c>
      <c r="H444">
        <v>0</v>
      </c>
      <c r="I444">
        <v>0.5</v>
      </c>
      <c r="J444" t="b">
        <v>1</v>
      </c>
      <c r="K444">
        <v>1E+18</v>
      </c>
      <c r="L444">
        <v>0.3</v>
      </c>
      <c r="M444" t="b">
        <v>1</v>
      </c>
      <c r="N444">
        <v>100000000000</v>
      </c>
      <c r="O444">
        <v>0.36432123972755359</v>
      </c>
      <c r="P444">
        <v>0.17725115192825189</v>
      </c>
      <c r="Q444">
        <v>0.1155192490012529</v>
      </c>
      <c r="R444" t="s">
        <v>914</v>
      </c>
      <c r="S444" t="s">
        <v>915</v>
      </c>
      <c r="T444">
        <v>1.289935148733321</v>
      </c>
      <c r="U444">
        <v>277.72466135171629</v>
      </c>
      <c r="V444">
        <v>200.34363688615531</v>
      </c>
    </row>
    <row r="445" spans="1:22" hidden="1" x14ac:dyDescent="0.2">
      <c r="A445" t="s">
        <v>829</v>
      </c>
      <c r="B445" t="s">
        <v>30</v>
      </c>
      <c r="C445">
        <v>2.8</v>
      </c>
      <c r="D445">
        <v>65</v>
      </c>
      <c r="E445">
        <v>7.4174743467909856</v>
      </c>
      <c r="F445">
        <v>6.7508535866779633</v>
      </c>
      <c r="G445">
        <v>1570.596204166488</v>
      </c>
      <c r="H445">
        <v>0</v>
      </c>
      <c r="I445">
        <v>0.5</v>
      </c>
      <c r="J445" t="b">
        <v>1</v>
      </c>
      <c r="K445">
        <v>1E+18</v>
      </c>
      <c r="L445">
        <v>0.3</v>
      </c>
      <c r="M445" t="b">
        <v>1</v>
      </c>
      <c r="N445">
        <v>100000000000</v>
      </c>
      <c r="O445">
        <v>0.36353135791816937</v>
      </c>
      <c r="P445">
        <v>0.17855779403191779</v>
      </c>
      <c r="Q445">
        <v>0.1163139229312833</v>
      </c>
      <c r="R445" t="s">
        <v>916</v>
      </c>
      <c r="S445" t="s">
        <v>917</v>
      </c>
      <c r="T445">
        <v>1.289935148733321</v>
      </c>
      <c r="U445">
        <v>279.79244805050371</v>
      </c>
      <c r="V445">
        <v>200.17885800078651</v>
      </c>
    </row>
    <row r="446" spans="1:22" hidden="1" x14ac:dyDescent="0.2">
      <c r="A446" t="s">
        <v>829</v>
      </c>
      <c r="B446" t="s">
        <v>30</v>
      </c>
      <c r="C446">
        <v>2.8</v>
      </c>
      <c r="D446">
        <v>60</v>
      </c>
      <c r="E446">
        <v>7.4123047980802426</v>
      </c>
      <c r="F446">
        <v>6.752200840498368</v>
      </c>
      <c r="G446">
        <v>1566.202943954278</v>
      </c>
      <c r="H446">
        <v>0</v>
      </c>
      <c r="I446">
        <v>0.5</v>
      </c>
      <c r="J446" t="b">
        <v>1</v>
      </c>
      <c r="K446">
        <v>1E+18</v>
      </c>
      <c r="L446">
        <v>0.3</v>
      </c>
      <c r="M446" t="b">
        <v>1</v>
      </c>
      <c r="N446">
        <v>100000000000</v>
      </c>
      <c r="O446">
        <v>0.36386241362366079</v>
      </c>
      <c r="P446">
        <v>0.1780130465846774</v>
      </c>
      <c r="Q446">
        <v>0.1160027078870092</v>
      </c>
      <c r="R446" t="s">
        <v>918</v>
      </c>
      <c r="S446" t="s">
        <v>919</v>
      </c>
      <c r="T446">
        <v>1.289935148733321</v>
      </c>
      <c r="U446">
        <v>284.22146509000208</v>
      </c>
      <c r="V446">
        <v>200.24624555717861</v>
      </c>
    </row>
    <row r="447" spans="1:22" hidden="1" x14ac:dyDescent="0.2">
      <c r="A447" t="s">
        <v>829</v>
      </c>
      <c r="B447" t="s">
        <v>30</v>
      </c>
      <c r="C447">
        <v>2.8</v>
      </c>
      <c r="D447">
        <v>55</v>
      </c>
      <c r="E447">
        <v>7.413178478883049</v>
      </c>
      <c r="F447">
        <v>6.7537340195691078</v>
      </c>
      <c r="G447">
        <v>1561.446124725333</v>
      </c>
      <c r="H447">
        <v>0</v>
      </c>
      <c r="I447">
        <v>0.5</v>
      </c>
      <c r="J447" t="b">
        <v>1</v>
      </c>
      <c r="K447">
        <v>1E+18</v>
      </c>
      <c r="L447">
        <v>0.3</v>
      </c>
      <c r="M447" t="b">
        <v>1</v>
      </c>
      <c r="N447">
        <v>100000000000</v>
      </c>
      <c r="O447">
        <v>0.36418936233611932</v>
      </c>
      <c r="P447">
        <v>0.1774885781106206</v>
      </c>
      <c r="Q447">
        <v>0.11564514690075491</v>
      </c>
      <c r="R447" t="s">
        <v>920</v>
      </c>
      <c r="S447" t="s">
        <v>921</v>
      </c>
      <c r="T447">
        <v>1.289935148733321</v>
      </c>
      <c r="U447">
        <v>281.99702318909158</v>
      </c>
      <c r="V447">
        <v>200.3139507667253</v>
      </c>
    </row>
    <row r="448" spans="1:22" hidden="1" x14ac:dyDescent="0.2">
      <c r="A448" t="s">
        <v>829</v>
      </c>
      <c r="B448" t="s">
        <v>30</v>
      </c>
      <c r="C448">
        <v>2.8</v>
      </c>
      <c r="D448">
        <v>50</v>
      </c>
      <c r="E448">
        <v>7.4079059047794713</v>
      </c>
      <c r="F448">
        <v>6.7550638939889893</v>
      </c>
      <c r="G448">
        <v>1557.003334490872</v>
      </c>
      <c r="H448">
        <v>0</v>
      </c>
      <c r="I448">
        <v>0.5</v>
      </c>
      <c r="J448" t="b">
        <v>1</v>
      </c>
      <c r="K448">
        <v>1E+18</v>
      </c>
      <c r="L448">
        <v>0.3</v>
      </c>
      <c r="M448" t="b">
        <v>1</v>
      </c>
      <c r="N448">
        <v>100000000000</v>
      </c>
      <c r="O448">
        <v>0.36452440540475228</v>
      </c>
      <c r="P448">
        <v>0.17693830274674169</v>
      </c>
      <c r="Q448">
        <v>0.1153330365913869</v>
      </c>
      <c r="R448" t="s">
        <v>922</v>
      </c>
      <c r="S448" t="s">
        <v>923</v>
      </c>
      <c r="T448">
        <v>1.289935148733321</v>
      </c>
      <c r="U448">
        <v>272.37838016103228</v>
      </c>
      <c r="V448">
        <v>200.37968402108771</v>
      </c>
    </row>
    <row r="449" spans="1:26" hidden="1" x14ac:dyDescent="0.2">
      <c r="A449" t="s">
        <v>829</v>
      </c>
      <c r="B449" t="s">
        <v>30</v>
      </c>
      <c r="C449">
        <v>2.9</v>
      </c>
      <c r="D449">
        <v>70</v>
      </c>
      <c r="E449">
        <v>7.4161366280331746</v>
      </c>
      <c r="F449">
        <v>6.7529121259803642</v>
      </c>
      <c r="G449">
        <v>1563.9820502909311</v>
      </c>
      <c r="H449">
        <v>0</v>
      </c>
      <c r="I449">
        <v>0.5</v>
      </c>
      <c r="J449" t="b">
        <v>1</v>
      </c>
      <c r="K449">
        <v>1E+18</v>
      </c>
      <c r="L449">
        <v>0.3</v>
      </c>
      <c r="M449" t="b">
        <v>1</v>
      </c>
      <c r="N449">
        <v>100000000000</v>
      </c>
      <c r="O449">
        <v>0.36401810321656708</v>
      </c>
      <c r="P449">
        <v>0.17780524798305969</v>
      </c>
      <c r="Q449">
        <v>0.11585691284855321</v>
      </c>
      <c r="R449" t="s">
        <v>924</v>
      </c>
      <c r="S449" t="s">
        <v>925</v>
      </c>
      <c r="T449">
        <v>1.289935148733321</v>
      </c>
      <c r="U449">
        <v>279.0903601081335</v>
      </c>
      <c r="V449">
        <v>200.2816133080363</v>
      </c>
    </row>
    <row r="450" spans="1:26" hidden="1" x14ac:dyDescent="0.2">
      <c r="A450" t="s">
        <v>829</v>
      </c>
      <c r="B450" t="s">
        <v>30</v>
      </c>
      <c r="C450">
        <v>2.9</v>
      </c>
      <c r="D450">
        <v>65</v>
      </c>
      <c r="E450">
        <v>7.4118048391629952</v>
      </c>
      <c r="F450">
        <v>6.7540311506920823</v>
      </c>
      <c r="G450">
        <v>1560.309413643246</v>
      </c>
      <c r="H450">
        <v>0</v>
      </c>
      <c r="I450">
        <v>0.5</v>
      </c>
      <c r="J450" t="b">
        <v>1</v>
      </c>
      <c r="K450">
        <v>1E+18</v>
      </c>
      <c r="L450">
        <v>0.3</v>
      </c>
      <c r="M450" t="b">
        <v>1</v>
      </c>
      <c r="N450">
        <v>100000000000</v>
      </c>
      <c r="O450">
        <v>0.36429220494421027</v>
      </c>
      <c r="P450">
        <v>0.1773500483560041</v>
      </c>
      <c r="Q450">
        <v>0.11559211950281439</v>
      </c>
      <c r="R450" t="s">
        <v>926</v>
      </c>
      <c r="S450" t="s">
        <v>927</v>
      </c>
      <c r="T450">
        <v>1.289935148733321</v>
      </c>
      <c r="U450">
        <v>272.56415017621202</v>
      </c>
      <c r="V450">
        <v>200.33552858500011</v>
      </c>
    </row>
    <row r="451" spans="1:26" hidden="1" x14ac:dyDescent="0.2">
      <c r="A451" t="s">
        <v>829</v>
      </c>
      <c r="B451" t="s">
        <v>30</v>
      </c>
      <c r="C451">
        <v>2.9</v>
      </c>
      <c r="D451">
        <v>60</v>
      </c>
      <c r="E451">
        <v>7.407419206883346</v>
      </c>
      <c r="F451">
        <v>6.7551401070586294</v>
      </c>
      <c r="G451">
        <v>1556.6233968361521</v>
      </c>
      <c r="H451">
        <v>0</v>
      </c>
      <c r="I451">
        <v>0.5</v>
      </c>
      <c r="J451" t="b">
        <v>1</v>
      </c>
      <c r="K451">
        <v>1E+18</v>
      </c>
      <c r="L451">
        <v>0.3</v>
      </c>
      <c r="M451" t="b">
        <v>1</v>
      </c>
      <c r="N451">
        <v>100000000000</v>
      </c>
      <c r="O451">
        <v>0.36456773218077421</v>
      </c>
      <c r="P451">
        <v>0.1768930703805229</v>
      </c>
      <c r="Q451">
        <v>0.1153288880469741</v>
      </c>
      <c r="R451" t="s">
        <v>928</v>
      </c>
      <c r="S451" t="s">
        <v>929</v>
      </c>
      <c r="T451">
        <v>1.289935148733321</v>
      </c>
      <c r="U451">
        <v>274.90754783952298</v>
      </c>
      <c r="V451">
        <v>200.38913005017079</v>
      </c>
    </row>
    <row r="452" spans="1:26" x14ac:dyDescent="0.2">
      <c r="A452" t="s">
        <v>829</v>
      </c>
      <c r="B452" t="s">
        <v>61</v>
      </c>
      <c r="C452">
        <v>2.7</v>
      </c>
      <c r="D452">
        <v>55</v>
      </c>
      <c r="E452">
        <v>6.7356182043472401</v>
      </c>
      <c r="F452">
        <v>6.0174233907980366</v>
      </c>
      <c r="G452">
        <v>1736.572652201776</v>
      </c>
      <c r="H452">
        <v>0</v>
      </c>
      <c r="I452">
        <v>0.9</v>
      </c>
      <c r="J452" t="b">
        <v>1</v>
      </c>
      <c r="K452">
        <v>1E+21</v>
      </c>
      <c r="L452">
        <v>0.3</v>
      </c>
      <c r="M452" t="b">
        <v>1</v>
      </c>
      <c r="N452">
        <v>100000000000</v>
      </c>
      <c r="O452">
        <v>0.36422565015170377</v>
      </c>
      <c r="P452">
        <v>0.19299381610885649</v>
      </c>
      <c r="Q452">
        <v>0.13957994434061891</v>
      </c>
      <c r="R452" t="s">
        <v>930</v>
      </c>
      <c r="S452" t="s">
        <v>931</v>
      </c>
      <c r="T452">
        <v>1.289935148733321</v>
      </c>
      <c r="U452">
        <v>211.3038839392249</v>
      </c>
      <c r="V452">
        <v>199.96244408510671</v>
      </c>
      <c r="W452">
        <f t="shared" ref="W452:W457" si="16">VALUE(","&amp;MID(R452,4,10))</f>
        <v>0.18141692719999999</v>
      </c>
      <c r="X452">
        <f t="shared" ref="X452:X457" si="17">((O452-0.364)/0.0012)^2+((W452-0.174)/0.016)^2</f>
        <v>0.25024568895538341</v>
      </c>
      <c r="Y452">
        <f t="shared" ref="Y452:Y457" si="18">((O452-O$8)/0.0012)^2+((W452-W$8)/0.016)^2</f>
        <v>0.70036495383523301</v>
      </c>
      <c r="Z452" s="5">
        <f t="shared" ref="Z452:Z457" si="19">Y452*100</f>
        <v>70.036495383523302</v>
      </c>
    </row>
    <row r="453" spans="1:26" x14ac:dyDescent="0.2">
      <c r="A453" t="s">
        <v>829</v>
      </c>
      <c r="B453" t="s">
        <v>61</v>
      </c>
      <c r="C453">
        <v>2.7</v>
      </c>
      <c r="D453">
        <v>50</v>
      </c>
      <c r="E453">
        <v>6.7357834176877889</v>
      </c>
      <c r="F453">
        <v>6.0199105109232578</v>
      </c>
      <c r="G453">
        <v>1730.724908201777</v>
      </c>
      <c r="H453">
        <v>0</v>
      </c>
      <c r="I453">
        <v>0.9</v>
      </c>
      <c r="J453" t="b">
        <v>1</v>
      </c>
      <c r="K453">
        <v>1E+21</v>
      </c>
      <c r="L453">
        <v>0.3</v>
      </c>
      <c r="M453" t="b">
        <v>1</v>
      </c>
      <c r="N453">
        <v>100000000000</v>
      </c>
      <c r="O453">
        <v>0.36458249156966538</v>
      </c>
      <c r="P453">
        <v>0.19231150459837981</v>
      </c>
      <c r="Q453">
        <v>0.13894403335713479</v>
      </c>
      <c r="R453" t="s">
        <v>932</v>
      </c>
      <c r="S453" t="s">
        <v>933</v>
      </c>
      <c r="T453">
        <v>1.289935148733321</v>
      </c>
      <c r="U453">
        <v>211.31109700493781</v>
      </c>
      <c r="V453">
        <v>200.06916503163049</v>
      </c>
      <c r="W453">
        <f t="shared" si="16"/>
        <v>0.18039247459999999</v>
      </c>
      <c r="X453">
        <f t="shared" si="17"/>
        <v>0.39524647116961997</v>
      </c>
      <c r="Y453">
        <f t="shared" si="18"/>
        <v>0.66100650908142511</v>
      </c>
      <c r="Z453" s="5">
        <f t="shared" si="19"/>
        <v>66.100650908142512</v>
      </c>
    </row>
    <row r="454" spans="1:26" x14ac:dyDescent="0.2">
      <c r="A454" t="s">
        <v>829</v>
      </c>
      <c r="B454" t="s">
        <v>61</v>
      </c>
      <c r="C454">
        <v>2.8</v>
      </c>
      <c r="D454">
        <v>65</v>
      </c>
      <c r="E454">
        <v>6.7366063785949386</v>
      </c>
      <c r="F454">
        <v>6.0173140611847709</v>
      </c>
      <c r="G454">
        <v>1736.742412201774</v>
      </c>
      <c r="H454">
        <v>0</v>
      </c>
      <c r="I454">
        <v>0.9</v>
      </c>
      <c r="J454" t="b">
        <v>1</v>
      </c>
      <c r="K454">
        <v>1E+21</v>
      </c>
      <c r="L454">
        <v>0.3</v>
      </c>
      <c r="M454" t="b">
        <v>1</v>
      </c>
      <c r="N454">
        <v>100000000000</v>
      </c>
      <c r="O454">
        <v>0.36422783417489529</v>
      </c>
      <c r="P454">
        <v>0.19302549141435429</v>
      </c>
      <c r="Q454">
        <v>0.1396265395929592</v>
      </c>
      <c r="R454" t="s">
        <v>934</v>
      </c>
      <c r="S454" t="s">
        <v>935</v>
      </c>
      <c r="T454">
        <v>1.289935148733321</v>
      </c>
      <c r="U454">
        <v>211.3035281120969</v>
      </c>
      <c r="V454">
        <v>199.96424146784361</v>
      </c>
      <c r="W454">
        <f t="shared" si="16"/>
        <v>0.18148983420000001</v>
      </c>
      <c r="X454">
        <f t="shared" si="17"/>
        <v>0.25517882165441258</v>
      </c>
      <c r="Y454">
        <f t="shared" si="18"/>
        <v>0.70785419790838533</v>
      </c>
      <c r="Z454" s="5">
        <f t="shared" si="19"/>
        <v>70.785419790838532</v>
      </c>
    </row>
    <row r="455" spans="1:26" x14ac:dyDescent="0.2">
      <c r="A455" t="s">
        <v>829</v>
      </c>
      <c r="B455" t="s">
        <v>61</v>
      </c>
      <c r="C455">
        <v>2.8</v>
      </c>
      <c r="D455">
        <v>60</v>
      </c>
      <c r="E455">
        <v>6.7344768886802182</v>
      </c>
      <c r="F455">
        <v>6.0193508946811312</v>
      </c>
      <c r="G455">
        <v>1731.911644201776</v>
      </c>
      <c r="H455">
        <v>0</v>
      </c>
      <c r="I455">
        <v>0.9</v>
      </c>
      <c r="J455" t="b">
        <v>1</v>
      </c>
      <c r="K455">
        <v>1E+21</v>
      </c>
      <c r="L455">
        <v>0.3</v>
      </c>
      <c r="M455" t="b">
        <v>1</v>
      </c>
      <c r="N455">
        <v>100000000000</v>
      </c>
      <c r="O455">
        <v>0.36453152792407201</v>
      </c>
      <c r="P455">
        <v>0.19244072621655281</v>
      </c>
      <c r="Q455">
        <v>0.1391036213010011</v>
      </c>
      <c r="R455" t="s">
        <v>936</v>
      </c>
      <c r="S455" t="s">
        <v>937</v>
      </c>
      <c r="T455">
        <v>1.289935148733321</v>
      </c>
      <c r="U455">
        <v>211.31130062980739</v>
      </c>
      <c r="V455">
        <v>200.05320147352359</v>
      </c>
      <c r="W455">
        <f t="shared" si="16"/>
        <v>0.18064562279999999</v>
      </c>
      <c r="X455">
        <f t="shared" si="17"/>
        <v>0.36871259379696686</v>
      </c>
      <c r="Y455">
        <f t="shared" si="18"/>
        <v>0.66577420393825937</v>
      </c>
      <c r="Z455" s="5">
        <f t="shared" si="19"/>
        <v>66.577420393825932</v>
      </c>
    </row>
    <row r="456" spans="1:26" x14ac:dyDescent="0.2">
      <c r="A456" t="s">
        <v>829</v>
      </c>
      <c r="B456" t="s">
        <v>61</v>
      </c>
      <c r="C456">
        <v>2.9</v>
      </c>
      <c r="D456">
        <v>72</v>
      </c>
      <c r="E456">
        <v>6.7359749518252592</v>
      </c>
      <c r="F456">
        <v>6.0196580794125554</v>
      </c>
      <c r="G456">
        <v>1731.098380201774</v>
      </c>
      <c r="H456">
        <v>0</v>
      </c>
      <c r="I456">
        <v>0.9</v>
      </c>
      <c r="J456" t="b">
        <v>1</v>
      </c>
      <c r="K456">
        <v>1E+21</v>
      </c>
      <c r="L456">
        <v>0.3</v>
      </c>
      <c r="M456" t="b">
        <v>1</v>
      </c>
      <c r="N456">
        <v>100000000000</v>
      </c>
      <c r="O456">
        <v>0.36459411102079492</v>
      </c>
      <c r="P456">
        <v>0.1923626929787893</v>
      </c>
      <c r="Q456">
        <v>0.13905083448478181</v>
      </c>
      <c r="R456" t="s">
        <v>938</v>
      </c>
      <c r="S456" t="s">
        <v>939</v>
      </c>
      <c r="T456">
        <v>1.289935148733321</v>
      </c>
      <c r="U456">
        <v>211.31185242069731</v>
      </c>
      <c r="V456">
        <v>200.07412667485841</v>
      </c>
      <c r="W456">
        <f t="shared" si="16"/>
        <v>0.18055749809999999</v>
      </c>
      <c r="X456">
        <f t="shared" si="17"/>
        <v>0.41308840279145925</v>
      </c>
      <c r="Y456">
        <f t="shared" si="18"/>
        <v>0.68207694457184775</v>
      </c>
      <c r="Z456" s="5">
        <f t="shared" si="19"/>
        <v>68.207694457184772</v>
      </c>
    </row>
    <row r="457" spans="1:26" x14ac:dyDescent="0.2">
      <c r="A457" t="s">
        <v>829</v>
      </c>
      <c r="B457" t="s">
        <v>61</v>
      </c>
      <c r="C457">
        <v>2.7</v>
      </c>
      <c r="D457">
        <v>60</v>
      </c>
      <c r="E457">
        <v>6.8754728057867682</v>
      </c>
      <c r="F457">
        <v>6.1587648296184856</v>
      </c>
      <c r="G457">
        <v>1707.504220201778</v>
      </c>
      <c r="H457">
        <v>0</v>
      </c>
      <c r="I457">
        <v>0.8</v>
      </c>
      <c r="J457" t="b">
        <v>1</v>
      </c>
      <c r="K457">
        <v>1E+21</v>
      </c>
      <c r="L457">
        <v>0.3</v>
      </c>
      <c r="M457" t="b">
        <v>1</v>
      </c>
      <c r="N457">
        <v>100000000000</v>
      </c>
      <c r="O457">
        <v>0.36357322119927032</v>
      </c>
      <c r="P457">
        <v>0.191091081979956</v>
      </c>
      <c r="Q457">
        <v>0.13503499539863559</v>
      </c>
      <c r="R457" t="s">
        <v>940</v>
      </c>
      <c r="S457" t="s">
        <v>941</v>
      </c>
      <c r="T457">
        <v>1.289935148733321</v>
      </c>
      <c r="U457">
        <v>210.6329411068256</v>
      </c>
      <c r="V457">
        <v>199.9629810370439</v>
      </c>
      <c r="W457">
        <f t="shared" si="16"/>
        <v>0.17464176270000001</v>
      </c>
      <c r="X457">
        <f t="shared" si="17"/>
        <v>0.12809503727066179</v>
      </c>
      <c r="Y457">
        <f t="shared" si="18"/>
        <v>0.51284568461695779</v>
      </c>
      <c r="Z457" s="5">
        <f t="shared" si="19"/>
        <v>51.284568461695777</v>
      </c>
    </row>
    <row r="458" spans="1:26" hidden="1" x14ac:dyDescent="0.2">
      <c r="A458" t="s">
        <v>829</v>
      </c>
      <c r="B458" t="s">
        <v>61</v>
      </c>
      <c r="C458">
        <v>2.7</v>
      </c>
      <c r="D458">
        <v>60</v>
      </c>
      <c r="E458">
        <v>6.8754728057867682</v>
      </c>
      <c r="F458">
        <v>6.1587648296184856</v>
      </c>
      <c r="G458">
        <v>1707.504220201778</v>
      </c>
      <c r="H458">
        <v>0</v>
      </c>
      <c r="I458">
        <v>0.8</v>
      </c>
      <c r="J458" t="b">
        <v>1</v>
      </c>
      <c r="K458">
        <v>1E+20</v>
      </c>
      <c r="L458">
        <v>0.3</v>
      </c>
      <c r="M458" t="b">
        <v>1</v>
      </c>
      <c r="N458">
        <v>100000000000</v>
      </c>
      <c r="O458">
        <v>0.36357322119927032</v>
      </c>
      <c r="P458">
        <v>0.191091081979956</v>
      </c>
      <c r="Q458">
        <v>0.13503499539863559</v>
      </c>
      <c r="R458" t="s">
        <v>942</v>
      </c>
      <c r="S458" t="s">
        <v>943</v>
      </c>
      <c r="T458">
        <v>1.289935148733321</v>
      </c>
      <c r="U458">
        <v>215.10806915381019</v>
      </c>
      <c r="V458">
        <v>199.9629810370439</v>
      </c>
    </row>
    <row r="459" spans="1:26" x14ac:dyDescent="0.2">
      <c r="A459" t="s">
        <v>829</v>
      </c>
      <c r="B459" t="s">
        <v>61</v>
      </c>
      <c r="C459">
        <v>2.7</v>
      </c>
      <c r="D459">
        <v>55</v>
      </c>
      <c r="E459">
        <v>6.8729725193988029</v>
      </c>
      <c r="F459">
        <v>6.160969233203355</v>
      </c>
      <c r="G459">
        <v>1701.9954682017801</v>
      </c>
      <c r="H459">
        <v>0</v>
      </c>
      <c r="I459">
        <v>0.8</v>
      </c>
      <c r="J459" t="b">
        <v>1</v>
      </c>
      <c r="K459">
        <v>1E+21</v>
      </c>
      <c r="L459">
        <v>0.3</v>
      </c>
      <c r="M459" t="b">
        <v>1</v>
      </c>
      <c r="N459">
        <v>100000000000</v>
      </c>
      <c r="O459">
        <v>0.3639355231707202</v>
      </c>
      <c r="P459">
        <v>0.1904266997886048</v>
      </c>
      <c r="Q459">
        <v>0.13448709078650031</v>
      </c>
      <c r="R459" t="s">
        <v>944</v>
      </c>
      <c r="S459" t="s">
        <v>945</v>
      </c>
      <c r="T459">
        <v>1.289935148733321</v>
      </c>
      <c r="U459">
        <v>210.64888938008869</v>
      </c>
      <c r="V459">
        <v>200.06342454590651</v>
      </c>
      <c r="W459">
        <f>VALUE(","&amp;MID(R459,4,10))</f>
        <v>0.1737528401</v>
      </c>
      <c r="X459">
        <f>((O459-0.364)/0.0012)^2+((W459-0.174)/0.016)^2</f>
        <v>3.1256122256391665E-3</v>
      </c>
      <c r="Y459">
        <f>((O459-O$8)/0.0012)^2+((W459-W$8)/0.016)^2</f>
        <v>0.20773221332621614</v>
      </c>
      <c r="Z459" s="5">
        <f>Y459*100</f>
        <v>20.773221332621613</v>
      </c>
    </row>
    <row r="460" spans="1:26" hidden="1" x14ac:dyDescent="0.2">
      <c r="A460" t="s">
        <v>829</v>
      </c>
      <c r="B460" t="s">
        <v>61</v>
      </c>
      <c r="C460">
        <v>2.7</v>
      </c>
      <c r="D460">
        <v>55</v>
      </c>
      <c r="E460">
        <v>6.8729725193988029</v>
      </c>
      <c r="F460">
        <v>6.160969233203355</v>
      </c>
      <c r="G460">
        <v>1701.9954682017801</v>
      </c>
      <c r="H460">
        <v>0</v>
      </c>
      <c r="I460">
        <v>0.8</v>
      </c>
      <c r="J460" t="b">
        <v>1</v>
      </c>
      <c r="K460">
        <v>1E+20</v>
      </c>
      <c r="L460">
        <v>0.3</v>
      </c>
      <c r="M460" t="b">
        <v>1</v>
      </c>
      <c r="N460">
        <v>100000000000</v>
      </c>
      <c r="O460">
        <v>0.3639355231707202</v>
      </c>
      <c r="P460">
        <v>0.1904266997886048</v>
      </c>
      <c r="Q460">
        <v>0.13448709078650031</v>
      </c>
      <c r="R460" t="s">
        <v>946</v>
      </c>
      <c r="S460" t="s">
        <v>947</v>
      </c>
      <c r="T460">
        <v>1.289935148733321</v>
      </c>
      <c r="U460">
        <v>215.09664751118831</v>
      </c>
      <c r="V460">
        <v>200.06342454590651</v>
      </c>
    </row>
    <row r="461" spans="1:26" s="4" customFormat="1" x14ac:dyDescent="0.2">
      <c r="A461" s="4" t="s">
        <v>829</v>
      </c>
      <c r="B461" s="4" t="s">
        <v>61</v>
      </c>
      <c r="C461" s="4">
        <v>2.7</v>
      </c>
      <c r="D461" s="4">
        <v>50</v>
      </c>
      <c r="E461" s="4">
        <v>6.8698431726054663</v>
      </c>
      <c r="F461" s="4">
        <v>6.1631447715704857</v>
      </c>
      <c r="G461" s="4">
        <v>1696.4867162017811</v>
      </c>
      <c r="H461" s="4">
        <v>0</v>
      </c>
      <c r="I461" s="4">
        <v>0.8</v>
      </c>
      <c r="J461" s="4" t="b">
        <v>1</v>
      </c>
      <c r="K461" s="4">
        <v>1E+21</v>
      </c>
      <c r="L461" s="4">
        <v>0.3</v>
      </c>
      <c r="M461" s="4" t="b">
        <v>1</v>
      </c>
      <c r="N461" s="4">
        <v>100000000000</v>
      </c>
      <c r="O461" s="4">
        <v>0.36430114131733959</v>
      </c>
      <c r="P461" s="4">
        <v>0.18975782263313579</v>
      </c>
      <c r="Q461" s="4">
        <v>0.13394572159776039</v>
      </c>
      <c r="R461" s="4" t="s">
        <v>948</v>
      </c>
      <c r="S461" s="4" t="s">
        <v>949</v>
      </c>
      <c r="T461" s="4">
        <v>1.289935148733321</v>
      </c>
      <c r="U461" s="4">
        <v>210.66445907225261</v>
      </c>
      <c r="V461" s="4">
        <v>200.1624777566565</v>
      </c>
      <c r="W461" s="4">
        <f>VALUE(","&amp;MID(R461,4,10))</f>
        <v>0.17287386029999999</v>
      </c>
      <c r="X461" s="4">
        <f>((O461-0.364)/0.0012)^2+((W461-0.174)/0.016)^2</f>
        <v>6.7930323103166657E-2</v>
      </c>
      <c r="Y461" s="4">
        <f>((O461-O$8)/0.0012)^2+((W461-W$8)/0.016)^2</f>
        <v>9.1585312781479647E-2</v>
      </c>
      <c r="Z461" s="6">
        <f>Y461*100</f>
        <v>9.1585312781479651</v>
      </c>
    </row>
    <row r="462" spans="1:26" hidden="1" x14ac:dyDescent="0.2">
      <c r="A462" t="s">
        <v>829</v>
      </c>
      <c r="B462" t="s">
        <v>61</v>
      </c>
      <c r="C462">
        <v>2.7</v>
      </c>
      <c r="D462">
        <v>50</v>
      </c>
      <c r="E462">
        <v>6.8698431726054663</v>
      </c>
      <c r="F462">
        <v>6.1631447715704857</v>
      </c>
      <c r="G462">
        <v>1696.4867162017811</v>
      </c>
      <c r="H462">
        <v>0</v>
      </c>
      <c r="I462">
        <v>0.8</v>
      </c>
      <c r="J462" t="b">
        <v>1</v>
      </c>
      <c r="K462">
        <v>1E+20</v>
      </c>
      <c r="L462">
        <v>0.3</v>
      </c>
      <c r="M462" t="b">
        <v>1</v>
      </c>
      <c r="N462">
        <v>100000000000</v>
      </c>
      <c r="O462">
        <v>0.36430114131733959</v>
      </c>
      <c r="P462">
        <v>0.18975782263313579</v>
      </c>
      <c r="Q462">
        <v>0.13394572159776039</v>
      </c>
      <c r="R462" t="s">
        <v>950</v>
      </c>
      <c r="S462" t="s">
        <v>951</v>
      </c>
      <c r="T462">
        <v>1.289935148733321</v>
      </c>
      <c r="U462">
        <v>215.08529003330071</v>
      </c>
      <c r="V462">
        <v>200.1624777566565</v>
      </c>
    </row>
    <row r="463" spans="1:26" x14ac:dyDescent="0.2">
      <c r="A463" t="s">
        <v>829</v>
      </c>
      <c r="B463" t="s">
        <v>61</v>
      </c>
      <c r="C463">
        <v>2.8</v>
      </c>
      <c r="D463">
        <v>70</v>
      </c>
      <c r="E463">
        <v>6.8736519328666112</v>
      </c>
      <c r="F463">
        <v>6.1588980690836053</v>
      </c>
      <c r="G463">
        <v>1706.995996201777</v>
      </c>
      <c r="H463">
        <v>0</v>
      </c>
      <c r="I463">
        <v>0.8</v>
      </c>
      <c r="J463" t="b">
        <v>1</v>
      </c>
      <c r="K463">
        <v>1E+21</v>
      </c>
      <c r="L463">
        <v>0.3</v>
      </c>
      <c r="M463" t="b">
        <v>1</v>
      </c>
      <c r="N463">
        <v>100000000000</v>
      </c>
      <c r="O463">
        <v>0.3636348383800751</v>
      </c>
      <c r="P463">
        <v>0.1910185606486508</v>
      </c>
      <c r="Q463">
        <v>0.13501955574410299</v>
      </c>
      <c r="R463" t="s">
        <v>952</v>
      </c>
      <c r="S463" t="s">
        <v>953</v>
      </c>
      <c r="T463">
        <v>1.289935148733321</v>
      </c>
      <c r="U463">
        <v>210.6365901964613</v>
      </c>
      <c r="V463">
        <v>199.9786029366071</v>
      </c>
      <c r="W463">
        <f>VALUE(","&amp;MID(R463,4,10))</f>
        <v>0.17461121130000001</v>
      </c>
      <c r="X463">
        <f>((O463-0.364)/0.0012)^2+((W463-0.174)/0.016)^2</f>
        <v>9.4058605531728942E-2</v>
      </c>
      <c r="Y463">
        <f>((O463-O$8)/0.0012)^2+((W463-W$8)/0.016)^2</f>
        <v>0.45378532191914683</v>
      </c>
      <c r="Z463" s="5">
        <f>Y463*100</f>
        <v>45.378532191914687</v>
      </c>
    </row>
    <row r="464" spans="1:26" hidden="1" x14ac:dyDescent="0.2">
      <c r="A464" t="s">
        <v>829</v>
      </c>
      <c r="B464" t="s">
        <v>61</v>
      </c>
      <c r="C464">
        <v>2.8</v>
      </c>
      <c r="D464">
        <v>70</v>
      </c>
      <c r="E464">
        <v>6.8736519328666112</v>
      </c>
      <c r="F464">
        <v>6.1588980690836053</v>
      </c>
      <c r="G464">
        <v>1706.995996201777</v>
      </c>
      <c r="H464">
        <v>0</v>
      </c>
      <c r="I464">
        <v>0.8</v>
      </c>
      <c r="J464" t="b">
        <v>1</v>
      </c>
      <c r="K464">
        <v>1E+20</v>
      </c>
      <c r="L464">
        <v>0.3</v>
      </c>
      <c r="M464" t="b">
        <v>1</v>
      </c>
      <c r="N464">
        <v>100000000000</v>
      </c>
      <c r="O464">
        <v>0.3636348383800751</v>
      </c>
      <c r="P464">
        <v>0.1910185606486508</v>
      </c>
      <c r="Q464">
        <v>0.13501955574410299</v>
      </c>
      <c r="R464" t="s">
        <v>954</v>
      </c>
      <c r="S464" t="s">
        <v>955</v>
      </c>
      <c r="T464">
        <v>1.289935148733321</v>
      </c>
      <c r="U464">
        <v>215.09812809080751</v>
      </c>
      <c r="V464">
        <v>199.9786029366071</v>
      </c>
    </row>
    <row r="465" spans="1:26" x14ac:dyDescent="0.2">
      <c r="A465" t="s">
        <v>829</v>
      </c>
      <c r="B465" t="s">
        <v>61</v>
      </c>
      <c r="C465">
        <v>2.8</v>
      </c>
      <c r="D465">
        <v>65</v>
      </c>
      <c r="E465">
        <v>6.8738934130299478</v>
      </c>
      <c r="F465">
        <v>6.1608635606950664</v>
      </c>
      <c r="G465">
        <v>1702.1652282017781</v>
      </c>
      <c r="H465">
        <v>0</v>
      </c>
      <c r="I465">
        <v>0.8</v>
      </c>
      <c r="J465" t="b">
        <v>1</v>
      </c>
      <c r="K465">
        <v>1E+21</v>
      </c>
      <c r="L465">
        <v>0.3</v>
      </c>
      <c r="M465" t="b">
        <v>1</v>
      </c>
      <c r="N465">
        <v>100000000000</v>
      </c>
      <c r="O465">
        <v>0.36393765598820738</v>
      </c>
      <c r="P465">
        <v>0.19045775699032649</v>
      </c>
      <c r="Q465">
        <v>0.13452995154359201</v>
      </c>
      <c r="R465" t="s">
        <v>956</v>
      </c>
      <c r="S465" t="s">
        <v>957</v>
      </c>
      <c r="T465">
        <v>1.289935148733321</v>
      </c>
      <c r="U465">
        <v>210.64841376207249</v>
      </c>
      <c r="V465">
        <v>200.06491509785249</v>
      </c>
      <c r="W465">
        <f>VALUE(","&amp;MID(R465,4,10))</f>
        <v>0.1738198782</v>
      </c>
      <c r="X465">
        <f>((O465-0.364)/0.0012)^2+((W465-0.174)/0.016)^2</f>
        <v>2.8258837047540585E-3</v>
      </c>
      <c r="Y465">
        <f>((O465-O$8)/0.0012)^2+((W465-W$8)/0.016)^2</f>
        <v>0.20973510379464505</v>
      </c>
      <c r="Z465" s="5">
        <f>Y465*100</f>
        <v>20.973510379464503</v>
      </c>
    </row>
    <row r="466" spans="1:26" hidden="1" x14ac:dyDescent="0.2">
      <c r="A466" t="s">
        <v>829</v>
      </c>
      <c r="B466" t="s">
        <v>61</v>
      </c>
      <c r="C466">
        <v>2.8</v>
      </c>
      <c r="D466">
        <v>65</v>
      </c>
      <c r="E466">
        <v>6.8738934130299478</v>
      </c>
      <c r="F466">
        <v>6.1608635606950664</v>
      </c>
      <c r="G466">
        <v>1702.1652282017781</v>
      </c>
      <c r="H466">
        <v>0</v>
      </c>
      <c r="I466">
        <v>0.8</v>
      </c>
      <c r="J466" t="b">
        <v>1</v>
      </c>
      <c r="K466">
        <v>1E+20</v>
      </c>
      <c r="L466">
        <v>0.3</v>
      </c>
      <c r="M466" t="b">
        <v>1</v>
      </c>
      <c r="N466">
        <v>100000000000</v>
      </c>
      <c r="O466">
        <v>0.36393765598820738</v>
      </c>
      <c r="P466">
        <v>0.19045775699032649</v>
      </c>
      <c r="Q466">
        <v>0.13452995154359201</v>
      </c>
      <c r="R466" t="s">
        <v>958</v>
      </c>
      <c r="S466" t="s">
        <v>959</v>
      </c>
      <c r="T466">
        <v>1.289935148733321</v>
      </c>
      <c r="U466">
        <v>215.086369707465</v>
      </c>
      <c r="V466">
        <v>200.06491509785249</v>
      </c>
    </row>
    <row r="467" spans="1:26" x14ac:dyDescent="0.2">
      <c r="A467" t="s">
        <v>829</v>
      </c>
      <c r="B467" t="s">
        <v>61</v>
      </c>
      <c r="C467">
        <v>2.8</v>
      </c>
      <c r="D467">
        <v>60</v>
      </c>
      <c r="E467">
        <v>6.8680260194049669</v>
      </c>
      <c r="F467">
        <v>6.1626105438203531</v>
      </c>
      <c r="G467">
        <v>1697.67345220178</v>
      </c>
      <c r="H467">
        <v>0</v>
      </c>
      <c r="I467">
        <v>0.8</v>
      </c>
      <c r="J467" t="b">
        <v>1</v>
      </c>
      <c r="K467">
        <v>1E+21</v>
      </c>
      <c r="L467">
        <v>0.3</v>
      </c>
      <c r="M467" t="b">
        <v>1</v>
      </c>
      <c r="N467">
        <v>100000000000</v>
      </c>
      <c r="O467">
        <v>0.36424981945021279</v>
      </c>
      <c r="P467">
        <v>0.189881282285253</v>
      </c>
      <c r="Q467">
        <v>0.13409373569164379</v>
      </c>
      <c r="R467" t="s">
        <v>960</v>
      </c>
      <c r="S467" t="s">
        <v>961</v>
      </c>
      <c r="T467">
        <v>1.289935148733321</v>
      </c>
      <c r="U467">
        <v>210.66365540762101</v>
      </c>
      <c r="V467">
        <v>200.14696676409051</v>
      </c>
      <c r="W467">
        <f>VALUE(","&amp;MID(R467,4,10))</f>
        <v>0.1731087996</v>
      </c>
      <c r="X467">
        <f>((O467-0.364)/0.0012)^2+((W467-0.174)/0.016)^2</f>
        <v>4.6442602302100282E-2</v>
      </c>
      <c r="Y467">
        <f>((O467-O$8)/0.0012)^2+((W467-W$8)/0.016)^2</f>
        <v>0.10068903693226416</v>
      </c>
      <c r="Z467" s="5">
        <f>Y467*100</f>
        <v>10.068903693226417</v>
      </c>
    </row>
    <row r="468" spans="1:26" hidden="1" x14ac:dyDescent="0.2">
      <c r="A468" t="s">
        <v>829</v>
      </c>
      <c r="B468" t="s">
        <v>61</v>
      </c>
      <c r="C468">
        <v>2.8</v>
      </c>
      <c r="D468">
        <v>60</v>
      </c>
      <c r="E468">
        <v>6.8680260194049669</v>
      </c>
      <c r="F468">
        <v>6.1626105438203531</v>
      </c>
      <c r="G468">
        <v>1697.67345220178</v>
      </c>
      <c r="H468">
        <v>0</v>
      </c>
      <c r="I468">
        <v>0.8</v>
      </c>
      <c r="J468" t="b">
        <v>1</v>
      </c>
      <c r="K468">
        <v>1E+20</v>
      </c>
      <c r="L468">
        <v>0.3</v>
      </c>
      <c r="M468" t="b">
        <v>1</v>
      </c>
      <c r="N468">
        <v>100000000000</v>
      </c>
      <c r="O468">
        <v>0.36424981945021279</v>
      </c>
      <c r="P468">
        <v>0.189881282285253</v>
      </c>
      <c r="Q468">
        <v>0.13409373569164379</v>
      </c>
      <c r="R468" t="s">
        <v>962</v>
      </c>
      <c r="S468" t="s">
        <v>963</v>
      </c>
      <c r="T468">
        <v>1.289935148733321</v>
      </c>
      <c r="U468">
        <v>215.08125419478321</v>
      </c>
      <c r="V468">
        <v>200.14696676409051</v>
      </c>
    </row>
    <row r="469" spans="1:26" x14ac:dyDescent="0.2">
      <c r="A469" t="s">
        <v>829</v>
      </c>
      <c r="B469" t="s">
        <v>61</v>
      </c>
      <c r="C469">
        <v>2.8</v>
      </c>
      <c r="D469">
        <v>55</v>
      </c>
      <c r="E469">
        <v>6.8673832666778596</v>
      </c>
      <c r="F469">
        <v>6.1645358649775677</v>
      </c>
      <c r="G469">
        <v>1692.8426842017809</v>
      </c>
      <c r="H469">
        <v>0</v>
      </c>
      <c r="I469">
        <v>0.8</v>
      </c>
      <c r="J469" t="b">
        <v>1</v>
      </c>
      <c r="K469">
        <v>1E+21</v>
      </c>
      <c r="L469">
        <v>0.3</v>
      </c>
      <c r="M469" t="b">
        <v>1</v>
      </c>
      <c r="N469">
        <v>100000000000</v>
      </c>
      <c r="O469">
        <v>0.36455760077345811</v>
      </c>
      <c r="P469">
        <v>0.18931448360193501</v>
      </c>
      <c r="Q469">
        <v>0.13361412971190931</v>
      </c>
      <c r="R469" t="s">
        <v>964</v>
      </c>
      <c r="S469" t="s">
        <v>965</v>
      </c>
      <c r="T469">
        <v>1.289935148733321</v>
      </c>
      <c r="U469">
        <v>210.67498582150321</v>
      </c>
      <c r="V469">
        <v>200.23127784142901</v>
      </c>
      <c r="W469">
        <f>VALUE(","&amp;MID(R469,4,10))</f>
        <v>0.1723326775</v>
      </c>
      <c r="X469">
        <f>((O469-0.364)/0.0012)^2+((W469-0.174)/0.016)^2</f>
        <v>0.22677494573299037</v>
      </c>
      <c r="Y469">
        <f>((O469-O$8)/0.0012)^2+((W469-W$8)/0.016)^2</f>
        <v>0.12701038798670045</v>
      </c>
      <c r="Z469" s="5">
        <f>Y469*100</f>
        <v>12.701038798670044</v>
      </c>
    </row>
    <row r="470" spans="1:26" hidden="1" x14ac:dyDescent="0.2">
      <c r="A470" t="s">
        <v>829</v>
      </c>
      <c r="B470" t="s">
        <v>61</v>
      </c>
      <c r="C470">
        <v>2.8</v>
      </c>
      <c r="D470">
        <v>55</v>
      </c>
      <c r="E470">
        <v>6.8673832666778596</v>
      </c>
      <c r="F470">
        <v>6.1645358649775677</v>
      </c>
      <c r="G470">
        <v>1692.8426842017809</v>
      </c>
      <c r="H470">
        <v>0</v>
      </c>
      <c r="I470">
        <v>0.8</v>
      </c>
      <c r="J470" t="b">
        <v>1</v>
      </c>
      <c r="K470">
        <v>1E+20</v>
      </c>
      <c r="L470">
        <v>0.3</v>
      </c>
      <c r="M470" t="b">
        <v>1</v>
      </c>
      <c r="N470">
        <v>100000000000</v>
      </c>
      <c r="O470">
        <v>0.36455760077345811</v>
      </c>
      <c r="P470">
        <v>0.18931448360193501</v>
      </c>
      <c r="Q470">
        <v>0.13361412971190931</v>
      </c>
      <c r="R470" t="s">
        <v>966</v>
      </c>
      <c r="S470" t="s">
        <v>967</v>
      </c>
      <c r="T470">
        <v>1.289935148733321</v>
      </c>
      <c r="U470">
        <v>215.06961674070669</v>
      </c>
      <c r="V470">
        <v>200.23127784142901</v>
      </c>
    </row>
    <row r="471" spans="1:26" x14ac:dyDescent="0.2">
      <c r="A471" t="s">
        <v>829</v>
      </c>
      <c r="B471" t="s">
        <v>61</v>
      </c>
      <c r="C471">
        <v>2.9</v>
      </c>
      <c r="D471">
        <v>70</v>
      </c>
      <c r="E471">
        <v>6.8662294616747044</v>
      </c>
      <c r="F471">
        <v>6.1634208862610933</v>
      </c>
      <c r="G471">
        <v>1695.470268201778</v>
      </c>
      <c r="H471">
        <v>0</v>
      </c>
      <c r="I471">
        <v>0.8</v>
      </c>
      <c r="J471" t="b">
        <v>1</v>
      </c>
      <c r="K471">
        <v>1E+21</v>
      </c>
      <c r="L471">
        <v>0.3</v>
      </c>
      <c r="M471" t="b">
        <v>1</v>
      </c>
      <c r="N471">
        <v>100000000000</v>
      </c>
      <c r="O471">
        <v>0.36441730354182528</v>
      </c>
      <c r="P471">
        <v>0.18961194083639021</v>
      </c>
      <c r="Q471">
        <v>0.1339135845283275</v>
      </c>
      <c r="R471" t="s">
        <v>968</v>
      </c>
      <c r="S471" t="s">
        <v>969</v>
      </c>
      <c r="T471">
        <v>1.289935148733321</v>
      </c>
      <c r="U471">
        <v>210.6707935394659</v>
      </c>
      <c r="V471">
        <v>200.19249944775089</v>
      </c>
      <c r="W471">
        <f>VALUE(","&amp;MID(R471,4,10))</f>
        <v>0.17281122060000001</v>
      </c>
      <c r="X471">
        <f>((O471-0.364)/0.0012)^2+((W471-0.174)/0.016)^2</f>
        <v>0.12645241397077478</v>
      </c>
      <c r="Y471">
        <f>((O471-O$8)/0.0012)^2+((W471-W$8)/0.016)^2</f>
        <v>0.10269697905751438</v>
      </c>
      <c r="Z471" s="5">
        <f>Y471*100</f>
        <v>10.269697905751437</v>
      </c>
    </row>
    <row r="472" spans="1:26" hidden="1" x14ac:dyDescent="0.2">
      <c r="A472" t="s">
        <v>829</v>
      </c>
      <c r="B472" t="s">
        <v>61</v>
      </c>
      <c r="C472">
        <v>2.9</v>
      </c>
      <c r="D472">
        <v>70</v>
      </c>
      <c r="E472">
        <v>6.8662294616747044</v>
      </c>
      <c r="F472">
        <v>6.1634208862610933</v>
      </c>
      <c r="G472">
        <v>1695.470268201778</v>
      </c>
      <c r="H472">
        <v>0</v>
      </c>
      <c r="I472">
        <v>0.8</v>
      </c>
      <c r="J472" t="b">
        <v>1</v>
      </c>
      <c r="K472">
        <v>1E+20</v>
      </c>
      <c r="L472">
        <v>0.3</v>
      </c>
      <c r="M472" t="b">
        <v>1</v>
      </c>
      <c r="N472">
        <v>100000000000</v>
      </c>
      <c r="O472">
        <v>0.36441730354182528</v>
      </c>
      <c r="P472">
        <v>0.18961194083639021</v>
      </c>
      <c r="Q472">
        <v>0.1339135845283275</v>
      </c>
      <c r="R472" t="s">
        <v>970</v>
      </c>
      <c r="S472" t="s">
        <v>971</v>
      </c>
      <c r="T472">
        <v>1.289935148733321</v>
      </c>
      <c r="U472">
        <v>215.0650813139921</v>
      </c>
      <c r="V472">
        <v>200.19249944775089</v>
      </c>
    </row>
    <row r="473" spans="1:26" x14ac:dyDescent="0.2">
      <c r="A473" t="s">
        <v>829</v>
      </c>
      <c r="B473" t="s">
        <v>61</v>
      </c>
      <c r="C473">
        <v>2.7</v>
      </c>
      <c r="D473">
        <v>55</v>
      </c>
      <c r="E473">
        <v>7.0215801585518554</v>
      </c>
      <c r="F473">
        <v>6.3201036255418632</v>
      </c>
      <c r="G473">
        <v>1666.7403002017841</v>
      </c>
      <c r="H473">
        <v>0</v>
      </c>
      <c r="I473">
        <v>0.7</v>
      </c>
      <c r="J473" t="b">
        <v>1</v>
      </c>
      <c r="K473">
        <v>1E+21</v>
      </c>
      <c r="L473">
        <v>0.3</v>
      </c>
      <c r="M473" t="b">
        <v>1</v>
      </c>
      <c r="N473">
        <v>100000000000</v>
      </c>
      <c r="O473">
        <v>0.3636473930243202</v>
      </c>
      <c r="P473">
        <v>0.18756636809694749</v>
      </c>
      <c r="Q473">
        <v>0.12960909679889629</v>
      </c>
      <c r="R473" t="s">
        <v>972</v>
      </c>
      <c r="S473" t="s">
        <v>973</v>
      </c>
      <c r="T473">
        <v>1.289935148733321</v>
      </c>
      <c r="U473">
        <v>210.0342302038714</v>
      </c>
      <c r="V473">
        <v>200.15160708065679</v>
      </c>
      <c r="W473">
        <f>VALUE(","&amp;MID(R473,4,10))</f>
        <v>0.1664597941</v>
      </c>
      <c r="X473">
        <f>((O473-0.364)/0.0012)^2+((W473-0.174)/0.016)^2</f>
        <v>0.30843013541945774</v>
      </c>
      <c r="Y473">
        <f>((O473-O$8)/0.0012)^2+((W473-W$8)/0.016)^2</f>
        <v>0.28402541824999106</v>
      </c>
      <c r="Z473" s="5">
        <f>Y473*100</f>
        <v>28.402541824999105</v>
      </c>
    </row>
    <row r="474" spans="1:26" hidden="1" x14ac:dyDescent="0.2">
      <c r="A474" t="s">
        <v>829</v>
      </c>
      <c r="B474" t="s">
        <v>61</v>
      </c>
      <c r="C474">
        <v>2.7</v>
      </c>
      <c r="D474">
        <v>55</v>
      </c>
      <c r="E474">
        <v>7.0215801585518554</v>
      </c>
      <c r="F474">
        <v>6.3201036255418632</v>
      </c>
      <c r="G474">
        <v>1666.7403002017841</v>
      </c>
      <c r="H474">
        <v>0</v>
      </c>
      <c r="I474">
        <v>0.7</v>
      </c>
      <c r="J474" t="b">
        <v>1</v>
      </c>
      <c r="K474">
        <v>1E+20</v>
      </c>
      <c r="L474">
        <v>0.3</v>
      </c>
      <c r="M474" t="b">
        <v>1</v>
      </c>
      <c r="N474">
        <v>100000000000</v>
      </c>
      <c r="O474">
        <v>0.3636473930243202</v>
      </c>
      <c r="P474">
        <v>0.18756636809694749</v>
      </c>
      <c r="Q474">
        <v>0.12960909679889629</v>
      </c>
      <c r="R474" t="s">
        <v>974</v>
      </c>
      <c r="S474" t="s">
        <v>975</v>
      </c>
      <c r="T474">
        <v>1.289935148733321</v>
      </c>
      <c r="U474">
        <v>214.188159120167</v>
      </c>
      <c r="V474">
        <v>200.15160708065679</v>
      </c>
    </row>
    <row r="475" spans="1:26" hidden="1" x14ac:dyDescent="0.2">
      <c r="A475" t="s">
        <v>829</v>
      </c>
      <c r="B475" t="s">
        <v>61</v>
      </c>
      <c r="C475">
        <v>2.7</v>
      </c>
      <c r="D475">
        <v>55</v>
      </c>
      <c r="E475">
        <v>7.0215801585518554</v>
      </c>
      <c r="F475">
        <v>6.3201036255418632</v>
      </c>
      <c r="G475">
        <v>1666.7403002017841</v>
      </c>
      <c r="H475">
        <v>0</v>
      </c>
      <c r="I475">
        <v>0.7</v>
      </c>
      <c r="J475" t="b">
        <v>1</v>
      </c>
      <c r="K475">
        <v>1E+19</v>
      </c>
      <c r="L475">
        <v>0.3</v>
      </c>
      <c r="M475" t="b">
        <v>1</v>
      </c>
      <c r="N475">
        <v>100000000000</v>
      </c>
      <c r="O475">
        <v>0.3636473930243202</v>
      </c>
      <c r="P475">
        <v>0.18756636809694749</v>
      </c>
      <c r="Q475">
        <v>0.12960909679889629</v>
      </c>
      <c r="R475" t="s">
        <v>976</v>
      </c>
      <c r="S475" t="s">
        <v>977</v>
      </c>
      <c r="T475">
        <v>1.289935148733321</v>
      </c>
      <c r="U475">
        <v>228.24531404307831</v>
      </c>
      <c r="V475">
        <v>200.15160708065679</v>
      </c>
    </row>
    <row r="476" spans="1:26" hidden="1" x14ac:dyDescent="0.2">
      <c r="A476" t="s">
        <v>829</v>
      </c>
      <c r="B476" t="s">
        <v>61</v>
      </c>
      <c r="C476">
        <v>2.7</v>
      </c>
      <c r="D476">
        <v>50</v>
      </c>
      <c r="E476">
        <v>7.0207608177528158</v>
      </c>
      <c r="F476">
        <v>6.3221678516193291</v>
      </c>
      <c r="G476">
        <v>1661.231548201785</v>
      </c>
      <c r="H476">
        <v>0</v>
      </c>
      <c r="I476">
        <v>0.7</v>
      </c>
      <c r="J476" t="b">
        <v>1</v>
      </c>
      <c r="K476">
        <v>1E+20</v>
      </c>
      <c r="L476">
        <v>0.3</v>
      </c>
      <c r="M476" t="b">
        <v>1</v>
      </c>
      <c r="N476">
        <v>100000000000</v>
      </c>
      <c r="O476">
        <v>0.36401495495600023</v>
      </c>
      <c r="P476">
        <v>0.18692374965821371</v>
      </c>
      <c r="Q476">
        <v>0.12910939487168571</v>
      </c>
      <c r="R476" t="s">
        <v>978</v>
      </c>
      <c r="S476" t="s">
        <v>979</v>
      </c>
      <c r="T476">
        <v>1.289935148733321</v>
      </c>
      <c r="U476">
        <v>214.18363895798831</v>
      </c>
      <c r="V476">
        <v>200.2464867755765</v>
      </c>
    </row>
    <row r="477" spans="1:26" hidden="1" x14ac:dyDescent="0.2">
      <c r="A477" t="s">
        <v>829</v>
      </c>
      <c r="B477" t="s">
        <v>61</v>
      </c>
      <c r="C477">
        <v>2.7</v>
      </c>
      <c r="D477">
        <v>50</v>
      </c>
      <c r="E477">
        <v>7.0207608177528158</v>
      </c>
      <c r="F477">
        <v>6.3221678516193291</v>
      </c>
      <c r="G477">
        <v>1661.231548201785</v>
      </c>
      <c r="H477">
        <v>0</v>
      </c>
      <c r="I477">
        <v>0.7</v>
      </c>
      <c r="J477" t="b">
        <v>1</v>
      </c>
      <c r="K477">
        <v>1E+19</v>
      </c>
      <c r="L477">
        <v>0.3</v>
      </c>
      <c r="M477" t="b">
        <v>1</v>
      </c>
      <c r="N477">
        <v>100000000000</v>
      </c>
      <c r="O477">
        <v>0.36401495495600023</v>
      </c>
      <c r="P477">
        <v>0.18692374965821371</v>
      </c>
      <c r="Q477">
        <v>0.12910939487168571</v>
      </c>
      <c r="R477" t="s">
        <v>980</v>
      </c>
      <c r="S477" t="s">
        <v>981</v>
      </c>
      <c r="T477">
        <v>1.289935148733321</v>
      </c>
      <c r="U477">
        <v>228.13952727093761</v>
      </c>
      <c r="V477">
        <v>200.2464867755765</v>
      </c>
    </row>
    <row r="478" spans="1:26" hidden="1" x14ac:dyDescent="0.2">
      <c r="A478" t="s">
        <v>829</v>
      </c>
      <c r="B478" t="s">
        <v>61</v>
      </c>
      <c r="C478">
        <v>2.7</v>
      </c>
      <c r="D478">
        <v>45</v>
      </c>
      <c r="E478">
        <v>7.0134751254331968</v>
      </c>
      <c r="F478">
        <v>6.3240076665255289</v>
      </c>
      <c r="G478">
        <v>1656.0617882017859</v>
      </c>
      <c r="H478">
        <v>0</v>
      </c>
      <c r="I478">
        <v>0.7</v>
      </c>
      <c r="J478" t="b">
        <v>1</v>
      </c>
      <c r="K478">
        <v>1E+20</v>
      </c>
      <c r="L478">
        <v>0.3</v>
      </c>
      <c r="M478" t="b">
        <v>1</v>
      </c>
      <c r="N478">
        <v>100000000000</v>
      </c>
      <c r="O478">
        <v>0.36439244472526061</v>
      </c>
      <c r="P478">
        <v>0.18626029170917199</v>
      </c>
      <c r="Q478">
        <v>0.1286607168058862</v>
      </c>
      <c r="R478" t="s">
        <v>982</v>
      </c>
      <c r="S478" t="s">
        <v>983</v>
      </c>
      <c r="T478">
        <v>1.289935148733321</v>
      </c>
      <c r="U478">
        <v>214.18549336162829</v>
      </c>
      <c r="V478">
        <v>200.33708119631351</v>
      </c>
    </row>
    <row r="479" spans="1:26" hidden="1" x14ac:dyDescent="0.2">
      <c r="A479" t="s">
        <v>829</v>
      </c>
      <c r="B479" t="s">
        <v>61</v>
      </c>
      <c r="C479">
        <v>2.7</v>
      </c>
      <c r="D479">
        <v>45</v>
      </c>
      <c r="E479">
        <v>7.0134751254331968</v>
      </c>
      <c r="F479">
        <v>6.3240076665255289</v>
      </c>
      <c r="G479">
        <v>1656.0617882017859</v>
      </c>
      <c r="H479">
        <v>0</v>
      </c>
      <c r="I479">
        <v>0.7</v>
      </c>
      <c r="J479" t="b">
        <v>1</v>
      </c>
      <c r="K479">
        <v>1E+19</v>
      </c>
      <c r="L479">
        <v>0.3</v>
      </c>
      <c r="M479" t="b">
        <v>1</v>
      </c>
      <c r="N479">
        <v>100000000000</v>
      </c>
      <c r="O479">
        <v>0.36439244472526061</v>
      </c>
      <c r="P479">
        <v>0.18626029170917199</v>
      </c>
      <c r="Q479">
        <v>0.1286607168058862</v>
      </c>
      <c r="R479" t="s">
        <v>984</v>
      </c>
      <c r="S479" t="s">
        <v>985</v>
      </c>
      <c r="T479">
        <v>1.289935148733321</v>
      </c>
      <c r="U479">
        <v>228.05176068179341</v>
      </c>
      <c r="V479">
        <v>200.33708119631351</v>
      </c>
    </row>
    <row r="480" spans="1:26" x14ac:dyDescent="0.2">
      <c r="A480" t="s">
        <v>829</v>
      </c>
      <c r="B480" t="s">
        <v>61</v>
      </c>
      <c r="C480">
        <v>2.8</v>
      </c>
      <c r="D480">
        <v>65</v>
      </c>
      <c r="E480">
        <v>7.0224235158400896</v>
      </c>
      <c r="F480">
        <v>6.3200036541821873</v>
      </c>
      <c r="G480">
        <v>1666.910060201782</v>
      </c>
      <c r="H480">
        <v>0</v>
      </c>
      <c r="I480">
        <v>0.7</v>
      </c>
      <c r="J480" t="b">
        <v>1</v>
      </c>
      <c r="K480">
        <v>1E+21</v>
      </c>
      <c r="L480">
        <v>0.3</v>
      </c>
      <c r="M480" t="b">
        <v>1</v>
      </c>
      <c r="N480">
        <v>100000000000</v>
      </c>
      <c r="O480">
        <v>0.36364947781695051</v>
      </c>
      <c r="P480">
        <v>0.1875966736101341</v>
      </c>
      <c r="Q480">
        <v>0.12964850456032459</v>
      </c>
      <c r="R480" t="s">
        <v>986</v>
      </c>
      <c r="S480" t="s">
        <v>987</v>
      </c>
      <c r="T480">
        <v>1.289935148733321</v>
      </c>
      <c r="U480">
        <v>210.03364098656471</v>
      </c>
      <c r="V480">
        <v>200.15282731495381</v>
      </c>
      <c r="W480">
        <f>VALUE(","&amp;MID(R480,4,10))</f>
        <v>0.16651720249999999</v>
      </c>
      <c r="X480">
        <f>((O480-0.364)/0.0012)^2+((W480-0.174)/0.016)^2</f>
        <v>0.30404323226115365</v>
      </c>
      <c r="Y480">
        <f>((O480-O$8)/0.0012)^2+((W480-W$8)/0.016)^2</f>
        <v>0.28151141619851011</v>
      </c>
      <c r="Z480" s="5">
        <f>Y480*100</f>
        <v>28.15114161985101</v>
      </c>
    </row>
    <row r="481" spans="1:22" hidden="1" x14ac:dyDescent="0.2">
      <c r="A481" t="s">
        <v>829</v>
      </c>
      <c r="B481" t="s">
        <v>61</v>
      </c>
      <c r="C481">
        <v>2.8</v>
      </c>
      <c r="D481">
        <v>65</v>
      </c>
      <c r="E481">
        <v>7.0224235158400896</v>
      </c>
      <c r="F481">
        <v>6.3200036541821873</v>
      </c>
      <c r="G481">
        <v>1666.910060201782</v>
      </c>
      <c r="H481">
        <v>0</v>
      </c>
      <c r="I481">
        <v>0.7</v>
      </c>
      <c r="J481" t="b">
        <v>1</v>
      </c>
      <c r="K481">
        <v>1E+20</v>
      </c>
      <c r="L481">
        <v>0.3</v>
      </c>
      <c r="M481" t="b">
        <v>1</v>
      </c>
      <c r="N481">
        <v>100000000000</v>
      </c>
      <c r="O481">
        <v>0.36364947781695051</v>
      </c>
      <c r="P481">
        <v>0.1875966736101341</v>
      </c>
      <c r="Q481">
        <v>0.12964850456032459</v>
      </c>
      <c r="R481" t="s">
        <v>988</v>
      </c>
      <c r="S481" t="s">
        <v>989</v>
      </c>
      <c r="T481">
        <v>1.289935148733321</v>
      </c>
      <c r="U481">
        <v>214.17881634494401</v>
      </c>
      <c r="V481">
        <v>200.15282731495381</v>
      </c>
    </row>
    <row r="482" spans="1:22" hidden="1" x14ac:dyDescent="0.2">
      <c r="A482" t="s">
        <v>829</v>
      </c>
      <c r="B482" t="s">
        <v>61</v>
      </c>
      <c r="C482">
        <v>2.8</v>
      </c>
      <c r="D482">
        <v>65</v>
      </c>
      <c r="E482">
        <v>7.0224235158400896</v>
      </c>
      <c r="F482">
        <v>6.3200036541821873</v>
      </c>
      <c r="G482">
        <v>1666.910060201782</v>
      </c>
      <c r="H482">
        <v>0</v>
      </c>
      <c r="I482">
        <v>0.7</v>
      </c>
      <c r="J482" t="b">
        <v>1</v>
      </c>
      <c r="K482">
        <v>1E+19</v>
      </c>
      <c r="L482">
        <v>0.3</v>
      </c>
      <c r="M482" t="b">
        <v>1</v>
      </c>
      <c r="N482">
        <v>100000000000</v>
      </c>
      <c r="O482">
        <v>0.36364947781695051</v>
      </c>
      <c r="P482">
        <v>0.1875966736101341</v>
      </c>
      <c r="Q482">
        <v>0.12964850456032459</v>
      </c>
      <c r="R482" t="s">
        <v>990</v>
      </c>
      <c r="S482" t="s">
        <v>991</v>
      </c>
      <c r="T482">
        <v>1.289935148733321</v>
      </c>
      <c r="U482">
        <v>228.1876479610228</v>
      </c>
      <c r="V482">
        <v>200.15282731495381</v>
      </c>
    </row>
    <row r="483" spans="1:22" hidden="1" x14ac:dyDescent="0.2">
      <c r="A483" t="s">
        <v>829</v>
      </c>
      <c r="B483" t="s">
        <v>61</v>
      </c>
      <c r="C483">
        <v>2.8</v>
      </c>
      <c r="D483">
        <v>60</v>
      </c>
      <c r="E483">
        <v>7.018418988870593</v>
      </c>
      <c r="F483">
        <v>6.321657173654172</v>
      </c>
      <c r="G483">
        <v>1662.418284201784</v>
      </c>
      <c r="H483">
        <v>0</v>
      </c>
      <c r="I483">
        <v>0.7</v>
      </c>
      <c r="J483" t="b">
        <v>1</v>
      </c>
      <c r="K483">
        <v>1E+20</v>
      </c>
      <c r="L483">
        <v>0.3</v>
      </c>
      <c r="M483" t="b">
        <v>1</v>
      </c>
      <c r="N483">
        <v>100000000000</v>
      </c>
      <c r="O483">
        <v>0.36396323242136341</v>
      </c>
      <c r="P483">
        <v>0.18704079693803541</v>
      </c>
      <c r="Q483">
        <v>0.12924627905290359</v>
      </c>
      <c r="R483" t="s">
        <v>992</v>
      </c>
      <c r="S483" t="s">
        <v>993</v>
      </c>
      <c r="T483">
        <v>1.289935148733321</v>
      </c>
      <c r="U483">
        <v>214.17903686711139</v>
      </c>
      <c r="V483">
        <v>200.23145768056349</v>
      </c>
    </row>
    <row r="484" spans="1:22" hidden="1" x14ac:dyDescent="0.2">
      <c r="A484" t="s">
        <v>829</v>
      </c>
      <c r="B484" t="s">
        <v>61</v>
      </c>
      <c r="C484">
        <v>2.8</v>
      </c>
      <c r="D484">
        <v>60</v>
      </c>
      <c r="E484">
        <v>7.018418988870593</v>
      </c>
      <c r="F484">
        <v>6.321657173654172</v>
      </c>
      <c r="G484">
        <v>1662.418284201784</v>
      </c>
      <c r="H484">
        <v>0</v>
      </c>
      <c r="I484">
        <v>0.7</v>
      </c>
      <c r="J484" t="b">
        <v>1</v>
      </c>
      <c r="K484">
        <v>1E+19</v>
      </c>
      <c r="L484">
        <v>0.3</v>
      </c>
      <c r="M484" t="b">
        <v>1</v>
      </c>
      <c r="N484">
        <v>100000000000</v>
      </c>
      <c r="O484">
        <v>0.36396323242136341</v>
      </c>
      <c r="P484">
        <v>0.18704079693803541</v>
      </c>
      <c r="Q484">
        <v>0.12924627905290359</v>
      </c>
      <c r="R484" t="s">
        <v>994</v>
      </c>
      <c r="S484" t="s">
        <v>995</v>
      </c>
      <c r="T484">
        <v>1.289935148733321</v>
      </c>
      <c r="U484">
        <v>228.11249316583249</v>
      </c>
      <c r="V484">
        <v>200.23145768056349</v>
      </c>
    </row>
    <row r="485" spans="1:22" hidden="1" x14ac:dyDescent="0.2">
      <c r="A485" t="s">
        <v>829</v>
      </c>
      <c r="B485" t="s">
        <v>61</v>
      </c>
      <c r="C485">
        <v>2.8</v>
      </c>
      <c r="D485">
        <v>55</v>
      </c>
      <c r="E485">
        <v>7.0139887369429372</v>
      </c>
      <c r="F485">
        <v>6.3232900320830314</v>
      </c>
      <c r="G485">
        <v>1657.9265082017851</v>
      </c>
      <c r="H485">
        <v>0</v>
      </c>
      <c r="I485">
        <v>0.7</v>
      </c>
      <c r="J485" t="b">
        <v>1</v>
      </c>
      <c r="K485">
        <v>1E+20</v>
      </c>
      <c r="L485">
        <v>0.3</v>
      </c>
      <c r="M485" t="b">
        <v>1</v>
      </c>
      <c r="N485">
        <v>100000000000</v>
      </c>
      <c r="O485">
        <v>0.36427937094889468</v>
      </c>
      <c r="P485">
        <v>0.18648159006948559</v>
      </c>
      <c r="Q485">
        <v>0.12884835351845239</v>
      </c>
      <c r="R485" t="s">
        <v>996</v>
      </c>
      <c r="S485" t="s">
        <v>997</v>
      </c>
      <c r="T485">
        <v>1.289935148733321</v>
      </c>
      <c r="U485">
        <v>214.17975028415319</v>
      </c>
      <c r="V485">
        <v>200.30923309994961</v>
      </c>
    </row>
    <row r="486" spans="1:22" hidden="1" x14ac:dyDescent="0.2">
      <c r="A486" t="s">
        <v>829</v>
      </c>
      <c r="B486" t="s">
        <v>61</v>
      </c>
      <c r="C486">
        <v>2.8</v>
      </c>
      <c r="D486">
        <v>55</v>
      </c>
      <c r="E486">
        <v>7.0139887369429372</v>
      </c>
      <c r="F486">
        <v>6.3232900320830314</v>
      </c>
      <c r="G486">
        <v>1657.9265082017851</v>
      </c>
      <c r="H486">
        <v>0</v>
      </c>
      <c r="I486">
        <v>0.7</v>
      </c>
      <c r="J486" t="b">
        <v>1</v>
      </c>
      <c r="K486">
        <v>1E+19</v>
      </c>
      <c r="L486">
        <v>0.3</v>
      </c>
      <c r="M486" t="b">
        <v>1</v>
      </c>
      <c r="N486">
        <v>100000000000</v>
      </c>
      <c r="O486">
        <v>0.36427937094889468</v>
      </c>
      <c r="P486">
        <v>0.18648159006948559</v>
      </c>
      <c r="Q486">
        <v>0.12884835351845239</v>
      </c>
      <c r="R486" t="s">
        <v>998</v>
      </c>
      <c r="S486" t="s">
        <v>999</v>
      </c>
      <c r="T486">
        <v>1.289935148733321</v>
      </c>
      <c r="U486">
        <v>228.0380956703315</v>
      </c>
      <c r="V486">
        <v>200.30923309994961</v>
      </c>
    </row>
    <row r="487" spans="1:22" hidden="1" x14ac:dyDescent="0.2">
      <c r="A487" t="s">
        <v>829</v>
      </c>
      <c r="B487" t="s">
        <v>61</v>
      </c>
      <c r="C487">
        <v>2.8</v>
      </c>
      <c r="D487">
        <v>50</v>
      </c>
      <c r="E487">
        <v>7.0149349381383832</v>
      </c>
      <c r="F487">
        <v>6.3250928686053589</v>
      </c>
      <c r="G487">
        <v>1653.0957402017859</v>
      </c>
      <c r="H487">
        <v>0</v>
      </c>
      <c r="I487">
        <v>0.7</v>
      </c>
      <c r="J487" t="b">
        <v>1</v>
      </c>
      <c r="K487">
        <v>1E+20</v>
      </c>
      <c r="L487">
        <v>0.3</v>
      </c>
      <c r="M487" t="b">
        <v>1</v>
      </c>
      <c r="N487">
        <v>100000000000</v>
      </c>
      <c r="O487">
        <v>0.36459129485888042</v>
      </c>
      <c r="P487">
        <v>0.18593508620409691</v>
      </c>
      <c r="Q487">
        <v>0.12840991032390031</v>
      </c>
      <c r="R487" t="s">
        <v>1000</v>
      </c>
      <c r="S487" t="s">
        <v>1001</v>
      </c>
      <c r="T487">
        <v>1.289935148733321</v>
      </c>
      <c r="U487">
        <v>214.17400784398359</v>
      </c>
      <c r="V487">
        <v>200.38906618553969</v>
      </c>
    </row>
    <row r="488" spans="1:22" hidden="1" x14ac:dyDescent="0.2">
      <c r="A488" t="s">
        <v>829</v>
      </c>
      <c r="B488" t="s">
        <v>61</v>
      </c>
      <c r="C488">
        <v>2.8</v>
      </c>
      <c r="D488">
        <v>50</v>
      </c>
      <c r="E488">
        <v>7.0149349381383832</v>
      </c>
      <c r="F488">
        <v>6.3250928686053589</v>
      </c>
      <c r="G488">
        <v>1653.0957402017859</v>
      </c>
      <c r="H488">
        <v>0</v>
      </c>
      <c r="I488">
        <v>0.7</v>
      </c>
      <c r="J488" t="b">
        <v>1</v>
      </c>
      <c r="K488">
        <v>1E+19</v>
      </c>
      <c r="L488">
        <v>0.3</v>
      </c>
      <c r="M488" t="b">
        <v>1</v>
      </c>
      <c r="N488">
        <v>100000000000</v>
      </c>
      <c r="O488">
        <v>0.36459129485888042</v>
      </c>
      <c r="P488">
        <v>0.18593508620409691</v>
      </c>
      <c r="Q488">
        <v>0.12840991032390031</v>
      </c>
      <c r="R488" t="s">
        <v>1002</v>
      </c>
      <c r="S488" t="s">
        <v>1003</v>
      </c>
      <c r="T488">
        <v>1.289935148733321</v>
      </c>
      <c r="U488">
        <v>227.94798179697679</v>
      </c>
      <c r="V488">
        <v>200.38906618553969</v>
      </c>
    </row>
    <row r="489" spans="1:22" hidden="1" x14ac:dyDescent="0.2">
      <c r="A489" t="s">
        <v>829</v>
      </c>
      <c r="B489" t="s">
        <v>61</v>
      </c>
      <c r="C489">
        <v>2.9</v>
      </c>
      <c r="D489">
        <v>70</v>
      </c>
      <c r="E489">
        <v>7.0175316626703674</v>
      </c>
      <c r="F489">
        <v>6.3224217546037744</v>
      </c>
      <c r="G489">
        <v>1660.2151002017829</v>
      </c>
      <c r="H489">
        <v>0</v>
      </c>
      <c r="I489">
        <v>0.7</v>
      </c>
      <c r="J489" t="b">
        <v>1</v>
      </c>
      <c r="K489">
        <v>1E+20</v>
      </c>
      <c r="L489">
        <v>0.3</v>
      </c>
      <c r="M489" t="b">
        <v>1</v>
      </c>
      <c r="N489">
        <v>100000000000</v>
      </c>
      <c r="O489">
        <v>0.3641315052814762</v>
      </c>
      <c r="P489">
        <v>0.1867816888192376</v>
      </c>
      <c r="Q489">
        <v>0.12908001395101859</v>
      </c>
      <c r="R489" t="s">
        <v>1004</v>
      </c>
      <c r="S489" t="s">
        <v>1005</v>
      </c>
      <c r="T489">
        <v>1.289935148733321</v>
      </c>
      <c r="U489">
        <v>214.16730736522649</v>
      </c>
      <c r="V489">
        <v>200.274829697831</v>
      </c>
    </row>
    <row r="490" spans="1:22" hidden="1" x14ac:dyDescent="0.2">
      <c r="A490" t="s">
        <v>829</v>
      </c>
      <c r="B490" t="s">
        <v>61</v>
      </c>
      <c r="C490">
        <v>2.9</v>
      </c>
      <c r="D490">
        <v>70</v>
      </c>
      <c r="E490">
        <v>7.0175316626703674</v>
      </c>
      <c r="F490">
        <v>6.3224217546037744</v>
      </c>
      <c r="G490">
        <v>1660.2151002017829</v>
      </c>
      <c r="H490">
        <v>0</v>
      </c>
      <c r="I490">
        <v>0.7</v>
      </c>
      <c r="J490" t="b">
        <v>1</v>
      </c>
      <c r="K490">
        <v>1E+19</v>
      </c>
      <c r="L490">
        <v>0.3</v>
      </c>
      <c r="M490" t="b">
        <v>1</v>
      </c>
      <c r="N490">
        <v>100000000000</v>
      </c>
      <c r="O490">
        <v>0.3641315052814762</v>
      </c>
      <c r="P490">
        <v>0.1867816888192376</v>
      </c>
      <c r="Q490">
        <v>0.12908001395101859</v>
      </c>
      <c r="R490" t="s">
        <v>1006</v>
      </c>
      <c r="S490" t="s">
        <v>1007</v>
      </c>
      <c r="T490">
        <v>1.289935148733321</v>
      </c>
      <c r="U490">
        <v>227.99931096558649</v>
      </c>
      <c r="V490">
        <v>200.274829697831</v>
      </c>
    </row>
    <row r="491" spans="1:22" hidden="1" x14ac:dyDescent="0.2">
      <c r="A491" t="s">
        <v>829</v>
      </c>
      <c r="B491" t="s">
        <v>61</v>
      </c>
      <c r="C491">
        <v>2.9</v>
      </c>
      <c r="D491">
        <v>65</v>
      </c>
      <c r="E491">
        <v>7.0154876900376841</v>
      </c>
      <c r="F491">
        <v>6.3238310662235184</v>
      </c>
      <c r="G491">
        <v>1656.401308201783</v>
      </c>
      <c r="H491">
        <v>0</v>
      </c>
      <c r="I491">
        <v>0.7</v>
      </c>
      <c r="J491" t="b">
        <v>1</v>
      </c>
      <c r="K491">
        <v>1E+20</v>
      </c>
      <c r="L491">
        <v>0.3</v>
      </c>
      <c r="M491" t="b">
        <v>1</v>
      </c>
      <c r="N491">
        <v>100000000000</v>
      </c>
      <c r="O491">
        <v>0.36438878937927188</v>
      </c>
      <c r="P491">
        <v>0.18632298302173411</v>
      </c>
      <c r="Q491">
        <v>0.12873608949843879</v>
      </c>
      <c r="R491" t="s">
        <v>1008</v>
      </c>
      <c r="S491" t="s">
        <v>1009</v>
      </c>
      <c r="T491">
        <v>1.289935148733321</v>
      </c>
      <c r="U491">
        <v>214.1664502921862</v>
      </c>
      <c r="V491">
        <v>200.33917368001929</v>
      </c>
    </row>
    <row r="492" spans="1:22" hidden="1" x14ac:dyDescent="0.2">
      <c r="A492" t="s">
        <v>829</v>
      </c>
      <c r="B492" t="s">
        <v>61</v>
      </c>
      <c r="C492">
        <v>2.9</v>
      </c>
      <c r="D492">
        <v>65</v>
      </c>
      <c r="E492">
        <v>7.0154876900376841</v>
      </c>
      <c r="F492">
        <v>6.3238310662235184</v>
      </c>
      <c r="G492">
        <v>1656.401308201783</v>
      </c>
      <c r="H492">
        <v>0</v>
      </c>
      <c r="I492">
        <v>0.7</v>
      </c>
      <c r="J492" t="b">
        <v>1</v>
      </c>
      <c r="K492">
        <v>1E+19</v>
      </c>
      <c r="L492">
        <v>0.3</v>
      </c>
      <c r="M492" t="b">
        <v>1</v>
      </c>
      <c r="N492">
        <v>100000000000</v>
      </c>
      <c r="O492">
        <v>0.36438878937927188</v>
      </c>
      <c r="P492">
        <v>0.18632298302173411</v>
      </c>
      <c r="Q492">
        <v>0.12873608949843879</v>
      </c>
      <c r="R492" t="s">
        <v>1010</v>
      </c>
      <c r="S492" t="s">
        <v>1011</v>
      </c>
      <c r="T492">
        <v>1.289935148733321</v>
      </c>
      <c r="U492">
        <v>227.93913383198429</v>
      </c>
      <c r="V492">
        <v>200.33917368001929</v>
      </c>
    </row>
    <row r="493" spans="1:22" hidden="1" x14ac:dyDescent="0.2">
      <c r="A493" t="s">
        <v>829</v>
      </c>
      <c r="B493" t="s">
        <v>61</v>
      </c>
      <c r="C493">
        <v>2.7</v>
      </c>
      <c r="D493">
        <v>50</v>
      </c>
      <c r="E493">
        <v>7.1869827268780133</v>
      </c>
      <c r="F493">
        <v>6.4999418674810174</v>
      </c>
      <c r="G493">
        <v>1625.081402846557</v>
      </c>
      <c r="H493">
        <v>0</v>
      </c>
      <c r="I493">
        <v>0.6</v>
      </c>
      <c r="J493" t="b">
        <v>1</v>
      </c>
      <c r="K493">
        <v>1E+19</v>
      </c>
      <c r="L493">
        <v>0.3</v>
      </c>
      <c r="M493" t="b">
        <v>1</v>
      </c>
      <c r="N493">
        <v>100000000000</v>
      </c>
      <c r="O493">
        <v>0.36372847373989992</v>
      </c>
      <c r="P493">
        <v>0.18368747539015159</v>
      </c>
      <c r="Q493">
        <v>0.1244568809282114</v>
      </c>
      <c r="R493" t="s">
        <v>1012</v>
      </c>
      <c r="S493" t="s">
        <v>1013</v>
      </c>
      <c r="T493">
        <v>1.289935148733321</v>
      </c>
      <c r="U493">
        <v>226.23381126486859</v>
      </c>
      <c r="V493">
        <v>200.3185974076226</v>
      </c>
    </row>
    <row r="494" spans="1:22" hidden="1" x14ac:dyDescent="0.2">
      <c r="A494" t="s">
        <v>829</v>
      </c>
      <c r="B494" t="s">
        <v>61</v>
      </c>
      <c r="C494">
        <v>2.7</v>
      </c>
      <c r="D494">
        <v>50</v>
      </c>
      <c r="E494">
        <v>7.1869827268780133</v>
      </c>
      <c r="F494">
        <v>6.4999418674810174</v>
      </c>
      <c r="G494">
        <v>1625.081402846557</v>
      </c>
      <c r="H494">
        <v>0</v>
      </c>
      <c r="I494">
        <v>0.6</v>
      </c>
      <c r="J494" t="b">
        <v>1</v>
      </c>
      <c r="K494">
        <v>1E+18</v>
      </c>
      <c r="L494">
        <v>0.3</v>
      </c>
      <c r="M494" t="b">
        <v>1</v>
      </c>
      <c r="N494">
        <v>100000000000</v>
      </c>
      <c r="O494">
        <v>0.36372847373989992</v>
      </c>
      <c r="P494">
        <v>0.18368747539015159</v>
      </c>
      <c r="Q494">
        <v>0.1244568809282114</v>
      </c>
      <c r="R494" t="s">
        <v>1014</v>
      </c>
      <c r="S494" t="s">
        <v>1015</v>
      </c>
      <c r="T494">
        <v>1.289935148733321</v>
      </c>
      <c r="U494">
        <v>294.89446163435019</v>
      </c>
      <c r="V494">
        <v>200.3185974076226</v>
      </c>
    </row>
    <row r="495" spans="1:22" hidden="1" x14ac:dyDescent="0.2">
      <c r="A495" t="s">
        <v>829</v>
      </c>
      <c r="B495" t="s">
        <v>61</v>
      </c>
      <c r="C495">
        <v>2.7</v>
      </c>
      <c r="D495">
        <v>45</v>
      </c>
      <c r="E495">
        <v>7.1819738083713771</v>
      </c>
      <c r="F495">
        <v>6.5016690013724476</v>
      </c>
      <c r="G495">
        <v>1619.909829017982</v>
      </c>
      <c r="H495">
        <v>0</v>
      </c>
      <c r="I495">
        <v>0.6</v>
      </c>
      <c r="J495" t="b">
        <v>1</v>
      </c>
      <c r="K495">
        <v>1E+19</v>
      </c>
      <c r="L495">
        <v>0.3</v>
      </c>
      <c r="M495" t="b">
        <v>1</v>
      </c>
      <c r="N495">
        <v>100000000000</v>
      </c>
      <c r="O495">
        <v>0.36410786853701788</v>
      </c>
      <c r="P495">
        <v>0.1830504892818553</v>
      </c>
      <c r="Q495">
        <v>0.1240450923370444</v>
      </c>
      <c r="R495" t="s">
        <v>1016</v>
      </c>
      <c r="S495" t="s">
        <v>1017</v>
      </c>
      <c r="T495">
        <v>1.289935148733321</v>
      </c>
      <c r="U495">
        <v>226.13455659068819</v>
      </c>
      <c r="V495">
        <v>200.40534853920951</v>
      </c>
    </row>
    <row r="496" spans="1:22" hidden="1" x14ac:dyDescent="0.2">
      <c r="A496" t="s">
        <v>829</v>
      </c>
      <c r="B496" t="s">
        <v>61</v>
      </c>
      <c r="C496">
        <v>2.7</v>
      </c>
      <c r="D496">
        <v>45</v>
      </c>
      <c r="E496">
        <v>7.1819738083713771</v>
      </c>
      <c r="F496">
        <v>6.5016690013724476</v>
      </c>
      <c r="G496">
        <v>1619.909829017982</v>
      </c>
      <c r="H496">
        <v>0</v>
      </c>
      <c r="I496">
        <v>0.6</v>
      </c>
      <c r="J496" t="b">
        <v>1</v>
      </c>
      <c r="K496">
        <v>1E+18</v>
      </c>
      <c r="L496">
        <v>0.3</v>
      </c>
      <c r="M496" t="b">
        <v>1</v>
      </c>
      <c r="N496">
        <v>100000000000</v>
      </c>
      <c r="O496">
        <v>0.36410786853701788</v>
      </c>
      <c r="P496">
        <v>0.1830504892818553</v>
      </c>
      <c r="Q496">
        <v>0.1240450923370444</v>
      </c>
      <c r="R496" t="s">
        <v>1018</v>
      </c>
      <c r="S496" t="s">
        <v>1019</v>
      </c>
      <c r="T496">
        <v>1.289935148733321</v>
      </c>
      <c r="U496">
        <v>293.57861118561209</v>
      </c>
      <c r="V496">
        <v>200.40534853920951</v>
      </c>
    </row>
    <row r="497" spans="1:22" hidden="1" x14ac:dyDescent="0.2">
      <c r="A497" t="s">
        <v>829</v>
      </c>
      <c r="B497" t="s">
        <v>61</v>
      </c>
      <c r="C497">
        <v>2.7</v>
      </c>
      <c r="D497">
        <v>40</v>
      </c>
      <c r="E497">
        <v>7.1769626093980232</v>
      </c>
      <c r="F497">
        <v>6.5033889769788944</v>
      </c>
      <c r="G497">
        <v>1614.701895727251</v>
      </c>
      <c r="H497">
        <v>0</v>
      </c>
      <c r="I497">
        <v>0.6</v>
      </c>
      <c r="J497" t="b">
        <v>1</v>
      </c>
      <c r="K497">
        <v>1E+19</v>
      </c>
      <c r="L497">
        <v>0.3</v>
      </c>
      <c r="M497" t="b">
        <v>1</v>
      </c>
      <c r="N497">
        <v>100000000000</v>
      </c>
      <c r="O497">
        <v>0.3644897195450979</v>
      </c>
      <c r="P497">
        <v>0.1824100949958633</v>
      </c>
      <c r="Q497">
        <v>0.1236603788649195</v>
      </c>
      <c r="R497" t="s">
        <v>1020</v>
      </c>
      <c r="S497" t="s">
        <v>1021</v>
      </c>
      <c r="T497">
        <v>1.289935148733321</v>
      </c>
      <c r="U497">
        <v>226.09947846641711</v>
      </c>
      <c r="V497">
        <v>200.49580969661949</v>
      </c>
    </row>
    <row r="498" spans="1:22" hidden="1" x14ac:dyDescent="0.2">
      <c r="A498" t="s">
        <v>829</v>
      </c>
      <c r="B498" t="s">
        <v>61</v>
      </c>
      <c r="C498">
        <v>2.7</v>
      </c>
      <c r="D498">
        <v>40</v>
      </c>
      <c r="E498">
        <v>7.1769626093980232</v>
      </c>
      <c r="F498">
        <v>6.5033889769788944</v>
      </c>
      <c r="G498">
        <v>1614.701895727251</v>
      </c>
      <c r="H498">
        <v>0</v>
      </c>
      <c r="I498">
        <v>0.6</v>
      </c>
      <c r="J498" t="b">
        <v>1</v>
      </c>
      <c r="K498">
        <v>1E+18</v>
      </c>
      <c r="L498">
        <v>0.3</v>
      </c>
      <c r="M498" t="b">
        <v>1</v>
      </c>
      <c r="N498">
        <v>100000000000</v>
      </c>
      <c r="O498">
        <v>0.3644897195450979</v>
      </c>
      <c r="P498">
        <v>0.1824100949958633</v>
      </c>
      <c r="Q498">
        <v>0.1236603788649195</v>
      </c>
      <c r="R498" t="s">
        <v>1022</v>
      </c>
      <c r="S498" t="s">
        <v>1023</v>
      </c>
      <c r="T498">
        <v>1.289935148733321</v>
      </c>
      <c r="U498">
        <v>296.54474096861401</v>
      </c>
      <c r="V498">
        <v>200.49580969661949</v>
      </c>
    </row>
    <row r="499" spans="1:22" hidden="1" x14ac:dyDescent="0.2">
      <c r="A499" t="s">
        <v>829</v>
      </c>
      <c r="B499" t="s">
        <v>61</v>
      </c>
      <c r="C499">
        <v>2.8</v>
      </c>
      <c r="D499">
        <v>60</v>
      </c>
      <c r="E499">
        <v>7.1878929740830984</v>
      </c>
      <c r="F499">
        <v>6.4995773479669232</v>
      </c>
      <c r="G499">
        <v>1626.0541171891</v>
      </c>
      <c r="H499">
        <v>0</v>
      </c>
      <c r="I499">
        <v>0.6</v>
      </c>
      <c r="J499" t="b">
        <v>1</v>
      </c>
      <c r="K499">
        <v>1E+19</v>
      </c>
      <c r="L499">
        <v>0.3</v>
      </c>
      <c r="M499" t="b">
        <v>1</v>
      </c>
      <c r="N499">
        <v>100000000000</v>
      </c>
      <c r="O499">
        <v>0.36367215068342618</v>
      </c>
      <c r="P499">
        <v>0.1838094235764885</v>
      </c>
      <c r="Q499">
        <v>0.1245872420292771</v>
      </c>
      <c r="R499" t="s">
        <v>1024</v>
      </c>
      <c r="S499" t="s">
        <v>1025</v>
      </c>
      <c r="T499">
        <v>1.289935148733321</v>
      </c>
      <c r="U499">
        <v>226.17533963879319</v>
      </c>
      <c r="V499">
        <v>200.31120029299291</v>
      </c>
    </row>
    <row r="500" spans="1:22" hidden="1" x14ac:dyDescent="0.2">
      <c r="A500" t="s">
        <v>829</v>
      </c>
      <c r="B500" t="s">
        <v>61</v>
      </c>
      <c r="C500">
        <v>2.8</v>
      </c>
      <c r="D500">
        <v>60</v>
      </c>
      <c r="E500">
        <v>7.1878929740830984</v>
      </c>
      <c r="F500">
        <v>6.4995773479669232</v>
      </c>
      <c r="G500">
        <v>1626.0541171891</v>
      </c>
      <c r="H500">
        <v>0</v>
      </c>
      <c r="I500">
        <v>0.6</v>
      </c>
      <c r="J500" t="b">
        <v>1</v>
      </c>
      <c r="K500">
        <v>1E+18</v>
      </c>
      <c r="L500">
        <v>0.3</v>
      </c>
      <c r="M500" t="b">
        <v>1</v>
      </c>
      <c r="N500">
        <v>100000000000</v>
      </c>
      <c r="O500">
        <v>0.36367215068342618</v>
      </c>
      <c r="P500">
        <v>0.1838094235764885</v>
      </c>
      <c r="Q500">
        <v>0.1245872420292771</v>
      </c>
      <c r="R500" t="s">
        <v>1026</v>
      </c>
      <c r="S500" t="s">
        <v>1027</v>
      </c>
      <c r="T500">
        <v>1.289935148733321</v>
      </c>
      <c r="U500">
        <v>295.0740362134157</v>
      </c>
      <c r="V500">
        <v>200.31120029299291</v>
      </c>
    </row>
    <row r="501" spans="1:22" hidden="1" x14ac:dyDescent="0.2">
      <c r="A501" t="s">
        <v>829</v>
      </c>
      <c r="B501" t="s">
        <v>61</v>
      </c>
      <c r="C501">
        <v>2.8</v>
      </c>
      <c r="D501">
        <v>55</v>
      </c>
      <c r="E501">
        <v>7.1836343929975461</v>
      </c>
      <c r="F501">
        <v>6.5010548703412772</v>
      </c>
      <c r="G501">
        <v>1621.663117962876</v>
      </c>
      <c r="H501">
        <v>0</v>
      </c>
      <c r="I501">
        <v>0.6</v>
      </c>
      <c r="J501" t="b">
        <v>1</v>
      </c>
      <c r="K501">
        <v>1E+19</v>
      </c>
      <c r="L501">
        <v>0.3</v>
      </c>
      <c r="M501" t="b">
        <v>1</v>
      </c>
      <c r="N501">
        <v>100000000000</v>
      </c>
      <c r="O501">
        <v>0.36399195475862889</v>
      </c>
      <c r="P501">
        <v>0.1832679798251263</v>
      </c>
      <c r="Q501">
        <v>0.1242044925491199</v>
      </c>
      <c r="R501" t="s">
        <v>1028</v>
      </c>
      <c r="S501" t="s">
        <v>1029</v>
      </c>
      <c r="T501">
        <v>1.289935148733321</v>
      </c>
      <c r="U501">
        <v>226.13836310290409</v>
      </c>
      <c r="V501">
        <v>200.3796125518534</v>
      </c>
    </row>
    <row r="502" spans="1:22" hidden="1" x14ac:dyDescent="0.2">
      <c r="A502" t="s">
        <v>829</v>
      </c>
      <c r="B502" t="s">
        <v>61</v>
      </c>
      <c r="C502">
        <v>2.8</v>
      </c>
      <c r="D502">
        <v>55</v>
      </c>
      <c r="E502">
        <v>7.1836343929975461</v>
      </c>
      <c r="F502">
        <v>6.5010548703412772</v>
      </c>
      <c r="G502">
        <v>1621.663117962876</v>
      </c>
      <c r="H502">
        <v>0</v>
      </c>
      <c r="I502">
        <v>0.6</v>
      </c>
      <c r="J502" t="b">
        <v>1</v>
      </c>
      <c r="K502">
        <v>1E+18</v>
      </c>
      <c r="L502">
        <v>0.3</v>
      </c>
      <c r="M502" t="b">
        <v>1</v>
      </c>
      <c r="N502">
        <v>100000000000</v>
      </c>
      <c r="O502">
        <v>0.36399195475862889</v>
      </c>
      <c r="P502">
        <v>0.1832679798251263</v>
      </c>
      <c r="Q502">
        <v>0.1242044925491199</v>
      </c>
      <c r="R502" t="s">
        <v>1030</v>
      </c>
      <c r="S502" t="s">
        <v>1031</v>
      </c>
      <c r="T502">
        <v>1.289935148733321</v>
      </c>
      <c r="U502">
        <v>295.72432728370188</v>
      </c>
      <c r="V502">
        <v>200.3796125518534</v>
      </c>
    </row>
    <row r="503" spans="1:22" hidden="1" x14ac:dyDescent="0.2">
      <c r="A503" t="s">
        <v>829</v>
      </c>
      <c r="B503" t="s">
        <v>61</v>
      </c>
      <c r="C503">
        <v>2.8</v>
      </c>
      <c r="D503">
        <v>50</v>
      </c>
      <c r="E503">
        <v>7.1793717681430111</v>
      </c>
      <c r="F503">
        <v>6.502524522680333</v>
      </c>
      <c r="G503">
        <v>1617.247772261049</v>
      </c>
      <c r="H503">
        <v>0</v>
      </c>
      <c r="I503">
        <v>0.6</v>
      </c>
      <c r="J503" t="b">
        <v>1</v>
      </c>
      <c r="K503">
        <v>1E+19</v>
      </c>
      <c r="L503">
        <v>0.3</v>
      </c>
      <c r="M503" t="b">
        <v>1</v>
      </c>
      <c r="N503">
        <v>100000000000</v>
      </c>
      <c r="O503">
        <v>0.3643136413238785</v>
      </c>
      <c r="P503">
        <v>0.18272429091970621</v>
      </c>
      <c r="Q503">
        <v>0.12387400805816511</v>
      </c>
      <c r="R503" t="s">
        <v>1032</v>
      </c>
      <c r="S503" t="s">
        <v>1033</v>
      </c>
      <c r="T503">
        <v>1.289935148733321</v>
      </c>
      <c r="U503">
        <v>226.0701225456703</v>
      </c>
      <c r="V503">
        <v>200.45627545073489</v>
      </c>
    </row>
    <row r="504" spans="1:22" hidden="1" x14ac:dyDescent="0.2">
      <c r="A504" t="s">
        <v>829</v>
      </c>
      <c r="B504" t="s">
        <v>61</v>
      </c>
      <c r="C504">
        <v>2.8</v>
      </c>
      <c r="D504">
        <v>50</v>
      </c>
      <c r="E504">
        <v>7.1793717681430111</v>
      </c>
      <c r="F504">
        <v>6.502524522680333</v>
      </c>
      <c r="G504">
        <v>1617.247772261049</v>
      </c>
      <c r="H504">
        <v>0</v>
      </c>
      <c r="I504">
        <v>0.6</v>
      </c>
      <c r="J504" t="b">
        <v>1</v>
      </c>
      <c r="K504">
        <v>1E+18</v>
      </c>
      <c r="L504">
        <v>0.3</v>
      </c>
      <c r="M504" t="b">
        <v>1</v>
      </c>
      <c r="N504">
        <v>100000000000</v>
      </c>
      <c r="O504">
        <v>0.3643136413238785</v>
      </c>
      <c r="P504">
        <v>0.18272429091970621</v>
      </c>
      <c r="Q504">
        <v>0.12387400805816511</v>
      </c>
      <c r="R504" t="s">
        <v>1034</v>
      </c>
      <c r="S504" t="s">
        <v>1035</v>
      </c>
      <c r="T504">
        <v>1.289935148733321</v>
      </c>
      <c r="U504">
        <v>292.54690785148182</v>
      </c>
      <c r="V504">
        <v>200.45627545073489</v>
      </c>
    </row>
    <row r="505" spans="1:22" hidden="1" x14ac:dyDescent="0.2">
      <c r="A505" t="s">
        <v>829</v>
      </c>
      <c r="B505" t="s">
        <v>61</v>
      </c>
      <c r="C505">
        <v>2.9</v>
      </c>
      <c r="D505">
        <v>70</v>
      </c>
      <c r="E505">
        <v>7.1858216212979533</v>
      </c>
      <c r="F505">
        <v>6.5002297730035137</v>
      </c>
      <c r="G505">
        <v>1623.9712883392569</v>
      </c>
      <c r="H505">
        <v>0</v>
      </c>
      <c r="I505">
        <v>0.6</v>
      </c>
      <c r="J505" t="b">
        <v>1</v>
      </c>
      <c r="K505">
        <v>1E+19</v>
      </c>
      <c r="L505">
        <v>0.3</v>
      </c>
      <c r="M505" t="b">
        <v>1</v>
      </c>
      <c r="N505">
        <v>100000000000</v>
      </c>
      <c r="O505">
        <v>0.36384361777459401</v>
      </c>
      <c r="P505">
        <v>0.18355513449957259</v>
      </c>
      <c r="Q505">
        <v>0.1244201115747328</v>
      </c>
      <c r="R505" t="s">
        <v>1036</v>
      </c>
      <c r="S505" t="s">
        <v>1037</v>
      </c>
      <c r="T505">
        <v>1.289935148733321</v>
      </c>
      <c r="U505">
        <v>226.08323102351969</v>
      </c>
      <c r="V505">
        <v>200.3463863927783</v>
      </c>
    </row>
    <row r="506" spans="1:22" hidden="1" x14ac:dyDescent="0.2">
      <c r="A506" t="s">
        <v>829</v>
      </c>
      <c r="B506" t="s">
        <v>61</v>
      </c>
      <c r="C506">
        <v>2.9</v>
      </c>
      <c r="D506">
        <v>70</v>
      </c>
      <c r="E506">
        <v>7.1858216212979533</v>
      </c>
      <c r="F506">
        <v>6.5002297730035137</v>
      </c>
      <c r="G506">
        <v>1623.9712883392569</v>
      </c>
      <c r="H506">
        <v>0</v>
      </c>
      <c r="I506">
        <v>0.6</v>
      </c>
      <c r="J506" t="b">
        <v>1</v>
      </c>
      <c r="K506">
        <v>1E+18</v>
      </c>
      <c r="L506">
        <v>0.3</v>
      </c>
      <c r="M506" t="b">
        <v>1</v>
      </c>
      <c r="N506">
        <v>100000000000</v>
      </c>
      <c r="O506">
        <v>0.36384361777459401</v>
      </c>
      <c r="P506">
        <v>0.18355513449957259</v>
      </c>
      <c r="Q506">
        <v>0.1244201115747328</v>
      </c>
      <c r="R506" t="s">
        <v>1038</v>
      </c>
      <c r="S506" t="s">
        <v>1039</v>
      </c>
      <c r="T506">
        <v>1.289935148733321</v>
      </c>
      <c r="U506">
        <v>294.93914892864859</v>
      </c>
      <c r="V506">
        <v>200.3463863927783</v>
      </c>
    </row>
    <row r="507" spans="1:22" hidden="1" x14ac:dyDescent="0.2">
      <c r="A507" t="s">
        <v>829</v>
      </c>
      <c r="B507" t="s">
        <v>61</v>
      </c>
      <c r="C507">
        <v>2.9</v>
      </c>
      <c r="D507">
        <v>65</v>
      </c>
      <c r="E507">
        <v>7.1823158194499479</v>
      </c>
      <c r="F507">
        <v>6.5014540289253153</v>
      </c>
      <c r="G507">
        <v>1620.3351657926689</v>
      </c>
      <c r="H507">
        <v>0</v>
      </c>
      <c r="I507">
        <v>0.6</v>
      </c>
      <c r="J507" t="b">
        <v>1</v>
      </c>
      <c r="K507">
        <v>1E+19</v>
      </c>
      <c r="L507">
        <v>0.3</v>
      </c>
      <c r="M507" t="b">
        <v>1</v>
      </c>
      <c r="N507">
        <v>100000000000</v>
      </c>
      <c r="O507">
        <v>0.36410575025175418</v>
      </c>
      <c r="P507">
        <v>0.1831067061711778</v>
      </c>
      <c r="Q507">
        <v>0.1241269645409291</v>
      </c>
      <c r="R507" t="s">
        <v>1040</v>
      </c>
      <c r="S507" t="s">
        <v>1041</v>
      </c>
      <c r="T507">
        <v>1.289935148733321</v>
      </c>
      <c r="U507">
        <v>226.0353426301327</v>
      </c>
      <c r="V507">
        <v>200.40664729230139</v>
      </c>
    </row>
    <row r="508" spans="1:22" hidden="1" x14ac:dyDescent="0.2">
      <c r="A508" t="s">
        <v>829</v>
      </c>
      <c r="B508" t="s">
        <v>61</v>
      </c>
      <c r="C508">
        <v>2.9</v>
      </c>
      <c r="D508">
        <v>65</v>
      </c>
      <c r="E508">
        <v>7.1823158194499479</v>
      </c>
      <c r="F508">
        <v>6.5014540289253153</v>
      </c>
      <c r="G508">
        <v>1620.3351657926689</v>
      </c>
      <c r="H508">
        <v>0</v>
      </c>
      <c r="I508">
        <v>0.6</v>
      </c>
      <c r="J508" t="b">
        <v>1</v>
      </c>
      <c r="K508">
        <v>1E+18</v>
      </c>
      <c r="L508">
        <v>0.3</v>
      </c>
      <c r="M508" t="b">
        <v>1</v>
      </c>
      <c r="N508">
        <v>100000000000</v>
      </c>
      <c r="O508">
        <v>0.36410575025175418</v>
      </c>
      <c r="P508">
        <v>0.1831067061711778</v>
      </c>
      <c r="Q508">
        <v>0.1241269645409291</v>
      </c>
      <c r="R508" t="s">
        <v>1042</v>
      </c>
      <c r="S508" t="s">
        <v>1043</v>
      </c>
      <c r="T508">
        <v>1.289935148733321</v>
      </c>
      <c r="U508">
        <v>294.87036427857038</v>
      </c>
      <c r="V508">
        <v>200.40664729230139</v>
      </c>
    </row>
    <row r="509" spans="1:22" hidden="1" x14ac:dyDescent="0.2">
      <c r="A509" t="s">
        <v>829</v>
      </c>
      <c r="B509" t="s">
        <v>61</v>
      </c>
      <c r="C509">
        <v>2.9</v>
      </c>
      <c r="D509">
        <v>60</v>
      </c>
      <c r="E509">
        <v>7.1787963679168216</v>
      </c>
      <c r="F509">
        <v>6.5026749818881511</v>
      </c>
      <c r="G509">
        <v>1616.684485717147</v>
      </c>
      <c r="H509">
        <v>0</v>
      </c>
      <c r="I509">
        <v>0.6</v>
      </c>
      <c r="J509" t="b">
        <v>1</v>
      </c>
      <c r="K509">
        <v>1E+19</v>
      </c>
      <c r="L509">
        <v>0.3</v>
      </c>
      <c r="M509" t="b">
        <v>1</v>
      </c>
      <c r="N509">
        <v>100000000000</v>
      </c>
      <c r="O509">
        <v>0.36436924335721349</v>
      </c>
      <c r="P509">
        <v>0.18265694164535659</v>
      </c>
      <c r="Q509">
        <v>0.1238332744151129</v>
      </c>
      <c r="R509" t="s">
        <v>1044</v>
      </c>
      <c r="S509" t="s">
        <v>1045</v>
      </c>
      <c r="T509">
        <v>1.289935148733321</v>
      </c>
      <c r="U509">
        <v>226.01253062412809</v>
      </c>
      <c r="V509">
        <v>200.46624564943971</v>
      </c>
    </row>
    <row r="510" spans="1:22" hidden="1" x14ac:dyDescent="0.2">
      <c r="A510" t="s">
        <v>829</v>
      </c>
      <c r="B510" t="s">
        <v>61</v>
      </c>
      <c r="C510">
        <v>2.9</v>
      </c>
      <c r="D510">
        <v>60</v>
      </c>
      <c r="E510">
        <v>7.1787963679168216</v>
      </c>
      <c r="F510">
        <v>6.5026749818881511</v>
      </c>
      <c r="G510">
        <v>1616.684485717147</v>
      </c>
      <c r="H510">
        <v>0</v>
      </c>
      <c r="I510">
        <v>0.6</v>
      </c>
      <c r="J510" t="b">
        <v>1</v>
      </c>
      <c r="K510">
        <v>1E+18</v>
      </c>
      <c r="L510">
        <v>0.3</v>
      </c>
      <c r="M510" t="b">
        <v>1</v>
      </c>
      <c r="N510">
        <v>100000000000</v>
      </c>
      <c r="O510">
        <v>0.36436924335721349</v>
      </c>
      <c r="P510">
        <v>0.18265694164535659</v>
      </c>
      <c r="Q510">
        <v>0.1238332744151129</v>
      </c>
      <c r="R510" t="s">
        <v>1046</v>
      </c>
      <c r="S510" t="s">
        <v>1047</v>
      </c>
      <c r="T510">
        <v>1.289935148733321</v>
      </c>
      <c r="U510">
        <v>294.86435174892068</v>
      </c>
      <c r="V510">
        <v>200.46624564943971</v>
      </c>
    </row>
    <row r="511" spans="1:22" hidden="1" x14ac:dyDescent="0.2">
      <c r="A511" t="s">
        <v>829</v>
      </c>
      <c r="B511" t="s">
        <v>61</v>
      </c>
      <c r="C511">
        <v>3</v>
      </c>
      <c r="D511">
        <v>72</v>
      </c>
      <c r="E511">
        <v>7.1823498904342813</v>
      </c>
      <c r="F511">
        <v>6.5036375671324747</v>
      </c>
      <c r="G511">
        <v>1613.8575754490971</v>
      </c>
      <c r="H511">
        <v>0</v>
      </c>
      <c r="I511">
        <v>0.6</v>
      </c>
      <c r="J511" t="b">
        <v>1</v>
      </c>
      <c r="K511">
        <v>1E+19</v>
      </c>
      <c r="L511">
        <v>0.3</v>
      </c>
      <c r="M511" t="b">
        <v>1</v>
      </c>
      <c r="N511">
        <v>100000000000</v>
      </c>
      <c r="O511">
        <v>0.36456241310637288</v>
      </c>
      <c r="P511">
        <v>0.1823731392526918</v>
      </c>
      <c r="Q511">
        <v>0.1236307930447718</v>
      </c>
      <c r="R511" t="s">
        <v>1048</v>
      </c>
      <c r="S511" t="s">
        <v>1049</v>
      </c>
      <c r="T511">
        <v>1.289935148733321</v>
      </c>
      <c r="U511">
        <v>225.87090516233059</v>
      </c>
      <c r="V511">
        <v>200.51584378360769</v>
      </c>
    </row>
    <row r="512" spans="1:22" hidden="1" x14ac:dyDescent="0.2">
      <c r="A512" t="s">
        <v>829</v>
      </c>
      <c r="B512" t="s">
        <v>61</v>
      </c>
      <c r="C512">
        <v>3</v>
      </c>
      <c r="D512">
        <v>72</v>
      </c>
      <c r="E512">
        <v>7.1823498904342813</v>
      </c>
      <c r="F512">
        <v>6.5036375671324747</v>
      </c>
      <c r="G512">
        <v>1613.8575754490971</v>
      </c>
      <c r="H512">
        <v>0</v>
      </c>
      <c r="I512">
        <v>0.6</v>
      </c>
      <c r="J512" t="b">
        <v>1</v>
      </c>
      <c r="K512">
        <v>1E+18</v>
      </c>
      <c r="L512">
        <v>0.3</v>
      </c>
      <c r="M512" t="b">
        <v>1</v>
      </c>
      <c r="N512">
        <v>100000000000</v>
      </c>
      <c r="O512">
        <v>0.36456241310637288</v>
      </c>
      <c r="P512">
        <v>0.1823731392526918</v>
      </c>
      <c r="Q512">
        <v>0.1236307930447718</v>
      </c>
      <c r="R512" t="s">
        <v>1050</v>
      </c>
      <c r="S512" t="s">
        <v>1051</v>
      </c>
      <c r="T512">
        <v>1.289935148733321</v>
      </c>
      <c r="U512">
        <v>293.64220290771033</v>
      </c>
      <c r="V512">
        <v>200.51584378360769</v>
      </c>
    </row>
    <row r="513" spans="1:22" hidden="1" x14ac:dyDescent="0.2">
      <c r="A513" t="s">
        <v>829</v>
      </c>
      <c r="B513" t="s">
        <v>61</v>
      </c>
      <c r="C513">
        <v>2.7</v>
      </c>
      <c r="D513">
        <v>50</v>
      </c>
      <c r="E513">
        <v>7.3721514144814373</v>
      </c>
      <c r="F513">
        <v>6.7004655243187576</v>
      </c>
      <c r="G513">
        <v>1587.8619568673259</v>
      </c>
      <c r="H513">
        <v>0</v>
      </c>
      <c r="I513">
        <v>0.5</v>
      </c>
      <c r="J513" t="b">
        <v>1</v>
      </c>
      <c r="K513">
        <v>1E+18</v>
      </c>
      <c r="L513">
        <v>0.3</v>
      </c>
      <c r="M513" t="b">
        <v>1</v>
      </c>
      <c r="N513">
        <v>100000000000</v>
      </c>
      <c r="O513">
        <v>0.36344058102971971</v>
      </c>
      <c r="P513">
        <v>0.17988952342959799</v>
      </c>
      <c r="Q513">
        <v>0.1199910710693177</v>
      </c>
      <c r="R513" t="s">
        <v>1052</v>
      </c>
      <c r="S513" t="s">
        <v>1053</v>
      </c>
      <c r="T513">
        <v>1.289935148733321</v>
      </c>
      <c r="U513">
        <v>287.38207762639348</v>
      </c>
      <c r="V513">
        <v>200.3824485473715</v>
      </c>
    </row>
    <row r="514" spans="1:22" hidden="1" x14ac:dyDescent="0.2">
      <c r="A514" t="s">
        <v>829</v>
      </c>
      <c r="B514" t="s">
        <v>61</v>
      </c>
      <c r="C514">
        <v>2.7</v>
      </c>
      <c r="D514">
        <v>45</v>
      </c>
      <c r="E514">
        <v>7.3733383992910237</v>
      </c>
      <c r="F514">
        <v>6.7021842112808514</v>
      </c>
      <c r="G514">
        <v>1582.4843276794011</v>
      </c>
      <c r="H514">
        <v>0</v>
      </c>
      <c r="I514">
        <v>0.5</v>
      </c>
      <c r="J514" t="b">
        <v>1</v>
      </c>
      <c r="K514">
        <v>1E+18</v>
      </c>
      <c r="L514">
        <v>0.3</v>
      </c>
      <c r="M514" t="b">
        <v>1</v>
      </c>
      <c r="N514">
        <v>100000000000</v>
      </c>
      <c r="O514">
        <v>0.36381810587859892</v>
      </c>
      <c r="P514">
        <v>0.17929725029668739</v>
      </c>
      <c r="Q514">
        <v>0.119578037350381</v>
      </c>
      <c r="R514" t="s">
        <v>1054</v>
      </c>
      <c r="S514" t="s">
        <v>1055</v>
      </c>
      <c r="T514">
        <v>1.289935148733321</v>
      </c>
      <c r="U514">
        <v>286.23273183045723</v>
      </c>
      <c r="V514">
        <v>200.46477928661059</v>
      </c>
    </row>
    <row r="515" spans="1:22" hidden="1" x14ac:dyDescent="0.2">
      <c r="A515" t="s">
        <v>829</v>
      </c>
      <c r="B515" t="s">
        <v>61</v>
      </c>
      <c r="C515">
        <v>2.7</v>
      </c>
      <c r="D515">
        <v>40</v>
      </c>
      <c r="E515">
        <v>7.368279187631904</v>
      </c>
      <c r="F515">
        <v>6.7037076227500263</v>
      </c>
      <c r="G515">
        <v>1577.410661317504</v>
      </c>
      <c r="H515">
        <v>0</v>
      </c>
      <c r="I515">
        <v>0.5</v>
      </c>
      <c r="J515" t="b">
        <v>1</v>
      </c>
      <c r="K515">
        <v>1E+18</v>
      </c>
      <c r="L515">
        <v>0.3</v>
      </c>
      <c r="M515" t="b">
        <v>1</v>
      </c>
      <c r="N515">
        <v>100000000000</v>
      </c>
      <c r="O515">
        <v>0.36420456654513289</v>
      </c>
      <c r="P515">
        <v>0.178678634474742</v>
      </c>
      <c r="Q515">
        <v>0.1192441557732595</v>
      </c>
      <c r="R515" t="s">
        <v>1056</v>
      </c>
      <c r="S515" t="s">
        <v>1057</v>
      </c>
      <c r="T515">
        <v>1.289935148733321</v>
      </c>
      <c r="U515">
        <v>288.43914152793178</v>
      </c>
      <c r="V515">
        <v>200.5502945315545</v>
      </c>
    </row>
    <row r="516" spans="1:22" hidden="1" x14ac:dyDescent="0.2">
      <c r="A516" t="s">
        <v>829</v>
      </c>
      <c r="B516" t="s">
        <v>61</v>
      </c>
      <c r="C516">
        <v>2.7</v>
      </c>
      <c r="D516">
        <v>35</v>
      </c>
      <c r="E516">
        <v>7.3632124566135344</v>
      </c>
      <c r="F516">
        <v>6.7052250916668994</v>
      </c>
      <c r="G516">
        <v>1572.300691426042</v>
      </c>
      <c r="H516">
        <v>0</v>
      </c>
      <c r="I516">
        <v>0.5</v>
      </c>
      <c r="J516" t="b">
        <v>1</v>
      </c>
      <c r="K516">
        <v>1E+18</v>
      </c>
      <c r="L516">
        <v>0.3</v>
      </c>
      <c r="M516" t="b">
        <v>1</v>
      </c>
      <c r="N516">
        <v>100000000000</v>
      </c>
      <c r="O516">
        <v>0.36459348700453742</v>
      </c>
      <c r="P516">
        <v>0.1780565068802242</v>
      </c>
      <c r="Q516">
        <v>0.11885944904727409</v>
      </c>
      <c r="R516" t="s">
        <v>1058</v>
      </c>
      <c r="S516" t="s">
        <v>1059</v>
      </c>
      <c r="T516">
        <v>1.289935148733321</v>
      </c>
      <c r="U516">
        <v>287.92772897563867</v>
      </c>
      <c r="V516">
        <v>200.626248908153</v>
      </c>
    </row>
    <row r="517" spans="1:22" hidden="1" x14ac:dyDescent="0.2">
      <c r="A517" t="s">
        <v>829</v>
      </c>
      <c r="B517" t="s">
        <v>61</v>
      </c>
      <c r="C517">
        <v>2.8</v>
      </c>
      <c r="D517">
        <v>55</v>
      </c>
      <c r="E517">
        <v>7.3750245336906088</v>
      </c>
      <c r="F517">
        <v>6.7016337547058056</v>
      </c>
      <c r="G517">
        <v>1584.1919973360079</v>
      </c>
      <c r="H517">
        <v>0</v>
      </c>
      <c r="I517">
        <v>0.5</v>
      </c>
      <c r="J517" t="b">
        <v>1</v>
      </c>
      <c r="K517">
        <v>1E+18</v>
      </c>
      <c r="L517">
        <v>0.3</v>
      </c>
      <c r="M517" t="b">
        <v>1</v>
      </c>
      <c r="N517">
        <v>100000000000</v>
      </c>
      <c r="O517">
        <v>0.3637006183668729</v>
      </c>
      <c r="P517">
        <v>0.17950733367843871</v>
      </c>
      <c r="Q517">
        <v>0.1197179070783498</v>
      </c>
      <c r="R517" t="s">
        <v>1060</v>
      </c>
      <c r="S517" t="s">
        <v>1061</v>
      </c>
      <c r="T517">
        <v>1.289935148733321</v>
      </c>
      <c r="U517">
        <v>286.89290296395302</v>
      </c>
      <c r="V517">
        <v>200.44032887537659</v>
      </c>
    </row>
    <row r="518" spans="1:22" hidden="1" x14ac:dyDescent="0.2">
      <c r="A518" t="s">
        <v>829</v>
      </c>
      <c r="B518" t="s">
        <v>61</v>
      </c>
      <c r="C518">
        <v>2.8</v>
      </c>
      <c r="D518">
        <v>50</v>
      </c>
      <c r="E518">
        <v>7.3707162803783532</v>
      </c>
      <c r="F518">
        <v>6.7029394928576584</v>
      </c>
      <c r="G518">
        <v>1579.89046597422</v>
      </c>
      <c r="H518">
        <v>0</v>
      </c>
      <c r="I518">
        <v>0.5</v>
      </c>
      <c r="J518" t="b">
        <v>1</v>
      </c>
      <c r="K518">
        <v>1E+18</v>
      </c>
      <c r="L518">
        <v>0.3</v>
      </c>
      <c r="M518" t="b">
        <v>1</v>
      </c>
      <c r="N518">
        <v>100000000000</v>
      </c>
      <c r="O518">
        <v>0.36402623792427141</v>
      </c>
      <c r="P518">
        <v>0.1789821355635722</v>
      </c>
      <c r="Q518">
        <v>0.11940966698466</v>
      </c>
      <c r="R518" t="s">
        <v>1062</v>
      </c>
      <c r="S518" t="s">
        <v>1063</v>
      </c>
      <c r="T518">
        <v>1.289935148733321</v>
      </c>
      <c r="U518">
        <v>288.81783653437861</v>
      </c>
      <c r="V518">
        <v>200.50916105098821</v>
      </c>
    </row>
    <row r="519" spans="1:22" hidden="1" x14ac:dyDescent="0.2">
      <c r="A519" t="s">
        <v>829</v>
      </c>
      <c r="B519" t="s">
        <v>61</v>
      </c>
      <c r="C519">
        <v>2.8</v>
      </c>
      <c r="D519">
        <v>45</v>
      </c>
      <c r="E519">
        <v>7.3664262201989166</v>
      </c>
      <c r="F519">
        <v>6.704239728694029</v>
      </c>
      <c r="G519">
        <v>1575.563236299339</v>
      </c>
      <c r="H519">
        <v>0</v>
      </c>
      <c r="I519">
        <v>0.5</v>
      </c>
      <c r="J519" t="b">
        <v>1</v>
      </c>
      <c r="K519">
        <v>1E+18</v>
      </c>
      <c r="L519">
        <v>0.3</v>
      </c>
      <c r="M519" t="b">
        <v>1</v>
      </c>
      <c r="N519">
        <v>100000000000</v>
      </c>
      <c r="O519">
        <v>0.36435368772403148</v>
      </c>
      <c r="P519">
        <v>0.17845472186739331</v>
      </c>
      <c r="Q519">
        <v>0.1191143788953055</v>
      </c>
      <c r="R519" t="s">
        <v>1064</v>
      </c>
      <c r="S519" t="s">
        <v>1065</v>
      </c>
      <c r="T519">
        <v>1.289935148733321</v>
      </c>
      <c r="U519">
        <v>286.25119656621752</v>
      </c>
      <c r="V519">
        <v>200.57958788439609</v>
      </c>
    </row>
    <row r="520" spans="1:22" hidden="1" x14ac:dyDescent="0.2">
      <c r="A520" t="s">
        <v>829</v>
      </c>
      <c r="B520" t="s">
        <v>61</v>
      </c>
      <c r="C520">
        <v>2.9</v>
      </c>
      <c r="D520">
        <v>70</v>
      </c>
      <c r="E520">
        <v>7.3709982053375249</v>
      </c>
      <c r="F520">
        <v>6.7007124628932262</v>
      </c>
      <c r="G520">
        <v>1586.779173578067</v>
      </c>
      <c r="H520">
        <v>0</v>
      </c>
      <c r="I520">
        <v>0.5</v>
      </c>
      <c r="J520" t="b">
        <v>1</v>
      </c>
      <c r="K520">
        <v>1E+18</v>
      </c>
      <c r="L520">
        <v>0.3</v>
      </c>
      <c r="M520" t="b">
        <v>1</v>
      </c>
      <c r="N520">
        <v>100000000000</v>
      </c>
      <c r="O520">
        <v>0.36355669625821491</v>
      </c>
      <c r="P520">
        <v>0.17976162305154569</v>
      </c>
      <c r="Q520">
        <v>0.1199457646585389</v>
      </c>
      <c r="R520" t="s">
        <v>1066</v>
      </c>
      <c r="S520" t="s">
        <v>1067</v>
      </c>
      <c r="T520">
        <v>1.289935148733321</v>
      </c>
      <c r="U520">
        <v>286.64859376395822</v>
      </c>
      <c r="V520">
        <v>200.40583087549601</v>
      </c>
    </row>
    <row r="521" spans="1:22" hidden="1" x14ac:dyDescent="0.2">
      <c r="A521" t="s">
        <v>829</v>
      </c>
      <c r="B521" t="s">
        <v>61</v>
      </c>
      <c r="C521">
        <v>2.9</v>
      </c>
      <c r="D521">
        <v>65</v>
      </c>
      <c r="E521">
        <v>7.373690706715009</v>
      </c>
      <c r="F521">
        <v>6.701985825125627</v>
      </c>
      <c r="G521">
        <v>1582.8977321972791</v>
      </c>
      <c r="H521">
        <v>0</v>
      </c>
      <c r="I521">
        <v>0.5</v>
      </c>
      <c r="J521" t="b">
        <v>1</v>
      </c>
      <c r="K521">
        <v>1E+18</v>
      </c>
      <c r="L521">
        <v>0.3</v>
      </c>
      <c r="M521" t="b">
        <v>1</v>
      </c>
      <c r="N521">
        <v>100000000000</v>
      </c>
      <c r="O521">
        <v>0.36381560245405092</v>
      </c>
      <c r="P521">
        <v>0.17935148054376629</v>
      </c>
      <c r="Q521">
        <v>0.1196524207510636</v>
      </c>
      <c r="R521" t="s">
        <v>1068</v>
      </c>
      <c r="S521" t="s">
        <v>1069</v>
      </c>
      <c r="T521">
        <v>1.289935148733321</v>
      </c>
      <c r="U521">
        <v>288.48092422262238</v>
      </c>
      <c r="V521">
        <v>200.46590318507529</v>
      </c>
    </row>
    <row r="522" spans="1:22" hidden="1" x14ac:dyDescent="0.2">
      <c r="A522" t="s">
        <v>829</v>
      </c>
      <c r="B522" t="s">
        <v>61</v>
      </c>
      <c r="C522">
        <v>2.9</v>
      </c>
      <c r="D522">
        <v>60</v>
      </c>
      <c r="E522">
        <v>7.3701395223623711</v>
      </c>
      <c r="F522">
        <v>6.7030688084981236</v>
      </c>
      <c r="G522">
        <v>1579.3412229716571</v>
      </c>
      <c r="H522">
        <v>0</v>
      </c>
      <c r="I522">
        <v>0.5</v>
      </c>
      <c r="J522" t="b">
        <v>1</v>
      </c>
      <c r="K522">
        <v>1E+18</v>
      </c>
      <c r="L522">
        <v>0.3</v>
      </c>
      <c r="M522" t="b">
        <v>1</v>
      </c>
      <c r="N522">
        <v>100000000000</v>
      </c>
      <c r="O522">
        <v>0.3640823344941852</v>
      </c>
      <c r="P522">
        <v>0.17891704531991101</v>
      </c>
      <c r="Q522">
        <v>0.1193934394735299</v>
      </c>
      <c r="R522" t="s">
        <v>1070</v>
      </c>
      <c r="S522" t="s">
        <v>1071</v>
      </c>
      <c r="T522">
        <v>1.289935148733321</v>
      </c>
      <c r="U522">
        <v>285.70317541595978</v>
      </c>
      <c r="V522">
        <v>200.52186102305021</v>
      </c>
    </row>
    <row r="523" spans="1:22" hidden="1" x14ac:dyDescent="0.2">
      <c r="A523" t="s">
        <v>829</v>
      </c>
      <c r="B523" t="s">
        <v>61</v>
      </c>
      <c r="C523">
        <v>2.9</v>
      </c>
      <c r="D523">
        <v>55</v>
      </c>
      <c r="E523">
        <v>7.3666020790894029</v>
      </c>
      <c r="F523">
        <v>6.7041482932910563</v>
      </c>
      <c r="G523">
        <v>1575.7689452200809</v>
      </c>
      <c r="H523">
        <v>0</v>
      </c>
      <c r="I523">
        <v>0.5</v>
      </c>
      <c r="J523" t="b">
        <v>1</v>
      </c>
      <c r="K523">
        <v>1E+18</v>
      </c>
      <c r="L523">
        <v>0.3</v>
      </c>
      <c r="M523" t="b">
        <v>1</v>
      </c>
      <c r="N523">
        <v>100000000000</v>
      </c>
      <c r="O523">
        <v>0.36435036373534158</v>
      </c>
      <c r="P523">
        <v>0.17848135193758141</v>
      </c>
      <c r="Q523">
        <v>0.1191287738197455</v>
      </c>
      <c r="R523" t="s">
        <v>1072</v>
      </c>
      <c r="S523" t="s">
        <v>1073</v>
      </c>
      <c r="T523">
        <v>1.289935148733321</v>
      </c>
      <c r="U523">
        <v>286.0368314624393</v>
      </c>
      <c r="V523">
        <v>200.57636849556451</v>
      </c>
    </row>
    <row r="524" spans="1:22" hidden="1" x14ac:dyDescent="0.2">
      <c r="A524" t="s">
        <v>829</v>
      </c>
      <c r="B524" t="s">
        <v>61</v>
      </c>
      <c r="C524">
        <v>3</v>
      </c>
      <c r="D524">
        <v>70</v>
      </c>
      <c r="E524">
        <v>7.3665747493402396</v>
      </c>
      <c r="F524">
        <v>6.704097040094644</v>
      </c>
      <c r="G524">
        <v>1575.784024188428</v>
      </c>
      <c r="H524">
        <v>0</v>
      </c>
      <c r="I524">
        <v>0.5</v>
      </c>
      <c r="J524" t="b">
        <v>1</v>
      </c>
      <c r="K524">
        <v>1E+18</v>
      </c>
      <c r="L524">
        <v>0.3</v>
      </c>
      <c r="M524" t="b">
        <v>1</v>
      </c>
      <c r="N524">
        <v>100000000000</v>
      </c>
      <c r="O524">
        <v>0.36436807854002679</v>
      </c>
      <c r="P524">
        <v>0.17848563309778001</v>
      </c>
      <c r="Q524">
        <v>0.1191707696936621</v>
      </c>
      <c r="R524" t="s">
        <v>1074</v>
      </c>
      <c r="S524" t="s">
        <v>1075</v>
      </c>
      <c r="T524">
        <v>1.289935148733321</v>
      </c>
      <c r="U524">
        <v>284.81328175931759</v>
      </c>
      <c r="V524">
        <v>200.58320126411289</v>
      </c>
    </row>
    <row r="525" spans="1:22" hidden="1" x14ac:dyDescent="0.2">
      <c r="A525" t="s">
        <v>829</v>
      </c>
      <c r="B525" t="s">
        <v>61</v>
      </c>
      <c r="C525">
        <v>3</v>
      </c>
      <c r="D525">
        <v>65</v>
      </c>
      <c r="E525">
        <v>7.3637760722986538</v>
      </c>
      <c r="F525">
        <v>6.7049500654206682</v>
      </c>
      <c r="G525">
        <v>1572.9478292886999</v>
      </c>
      <c r="H525">
        <v>0</v>
      </c>
      <c r="I525">
        <v>0.5</v>
      </c>
      <c r="J525" t="b">
        <v>1</v>
      </c>
      <c r="K525">
        <v>1E+18</v>
      </c>
      <c r="L525">
        <v>0.3</v>
      </c>
      <c r="M525" t="b">
        <v>1</v>
      </c>
      <c r="N525">
        <v>100000000000</v>
      </c>
      <c r="O525">
        <v>0.36457849497191319</v>
      </c>
      <c r="P525">
        <v>0.17813964200045909</v>
      </c>
      <c r="Q525">
        <v>0.11896538016100019</v>
      </c>
      <c r="R525" t="s">
        <v>1076</v>
      </c>
      <c r="S525" t="s">
        <v>1077</v>
      </c>
      <c r="T525">
        <v>1.289935148733321</v>
      </c>
      <c r="U525">
        <v>285.02033408445988</v>
      </c>
      <c r="V525">
        <v>200.62663729544849</v>
      </c>
    </row>
  </sheetData>
  <autoFilter ref="A1:V525" xr:uid="{00000000-0001-0000-0000-000000000000}">
    <filterColumn colId="10">
      <filters>
        <filter val="1E+21"/>
      </filters>
    </filterColumn>
  </autoFilter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Egor Kulik</cp:lastModifiedBy>
  <cp:revision>1</cp:revision>
  <dcterms:created xsi:type="dcterms:W3CDTF">2025-08-17T15:59:13Z</dcterms:created>
  <dcterms:modified xsi:type="dcterms:W3CDTF">2025-11-25T19:59:11Z</dcterms:modified>
  <dc:language>ru-RU</dc:language>
</cp:coreProperties>
</file>