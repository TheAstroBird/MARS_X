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Лист1" sheetId="1" state="visible" r:id="rId3"/>
    <sheet name="Лист2" sheetId="2" state="visible" r:id="rId4"/>
  </sheets>
  <definedNames>
    <definedName function="false" hidden="true" localSheetId="0" name="_xlnm._FilterDatabase" vbProcedure="false">Лист1!$A$1:$P$192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<sst xmlns="http://schemas.openxmlformats.org/spreadsheetml/2006/main" count="228" uniqueCount="22">
  <si>
    <t xml:space="preserve">chemical model</t>
  </si>
  <si>
    <t xml:space="preserve">crust density</t>
  </si>
  <si>
    <t xml:space="preserve">crust depth</t>
  </si>
  <si>
    <t xml:space="preserve">core density</t>
  </si>
  <si>
    <t xml:space="preserve">core hydro</t>
  </si>
  <si>
    <t xml:space="preserve">core sulfur</t>
  </si>
  <si>
    <t xml:space="preserve">viscosity</t>
  </si>
  <si>
    <t xml:space="preserve">andrade</t>
  </si>
  <si>
    <t xml:space="preserve">visc_melt</t>
  </si>
  <si>
    <t xml:space="preserve">core radius</t>
  </si>
  <si>
    <t xml:space="preserve">inertia</t>
  </si>
  <si>
    <t xml:space="preserve">Love number elastic</t>
  </si>
  <si>
    <t xml:space="preserve">Love number (real)</t>
  </si>
  <si>
    <t xml:space="preserve">Love number (imaginary)</t>
  </si>
  <si>
    <t xml:space="preserve">Chandler period</t>
  </si>
  <si>
    <t xml:space="preserve">Chandler period elastic</t>
  </si>
  <si>
    <t xml:space="preserve">BF97</t>
  </si>
  <si>
    <t xml:space="preserve">MA79</t>
  </si>
  <si>
    <t xml:space="preserve">LF97</t>
  </si>
  <si>
    <t xml:space="preserve">S99</t>
  </si>
  <si>
    <t xml:space="preserve">KC08</t>
  </si>
  <si>
    <t xml:space="preserve">T13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</si>
</sst>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0"/>
    <numFmt numFmtId="166" formatCode="0E+00"/>
    <numFmt numFmtId="167" formatCode="0"/>
    <numFmt numFmtId="168" formatCode="0.00000"/>
    <numFmt numFmtId="169" formatCode="0.0000"/>
    <numFmt numFmtId="170" formatCode="General"/>
    <numFmt numFmtId="171" formatCode="0%"/>
    <numFmt numFmtId="172" formatCode="0.0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5" fontId="4" fillId="0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92"/>
  <sheetViews>
    <sheetView showFormulas="false" showGridLines="true" showRowColHeaders="true" showZeros="true" rightToLeft="false" tabSelected="false" showOutlineSymbols="true" defaultGridColor="true" view="normal" topLeftCell="N169" colorId="64" zoomScale="110" zoomScaleNormal="110" zoomScalePageLayoutView="100" workbookViewId="0">
      <selection pane="topLeft" activeCell="N174" activeCellId="1" sqref="O2:P6 N174"/>
    </sheetView>
  </sheetViews>
  <sheetFormatPr defaultColWidth="11.53515625" defaultRowHeight="12.8" zeroHeight="false" outlineLevelRow="0" outlineLevelCol="0"/>
  <cols>
    <col collapsed="false" customWidth="false" hidden="false" outlineLevel="0" max="6" min="6" style="1" width="11.53"/>
  </cols>
  <sheetData>
    <row r="1" s="4" customFormat="true" ht="5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customFormat="false" ht="12.8" hidden="false" customHeight="false" outlineLevel="0" collapsed="false">
      <c r="A2" s="4" t="s">
        <v>16</v>
      </c>
      <c r="B2" s="4" t="n">
        <v>2.7</v>
      </c>
      <c r="C2" s="4" t="n">
        <v>70</v>
      </c>
      <c r="D2" s="1" t="n">
        <v>6.96151327805064</v>
      </c>
      <c r="E2" s="4" t="n">
        <v>0</v>
      </c>
      <c r="F2" s="1" t="n">
        <v>0.8</v>
      </c>
      <c r="G2" s="4" t="n">
        <v>1E+021</v>
      </c>
      <c r="H2" s="4" t="n">
        <v>0.3</v>
      </c>
      <c r="I2" s="5" t="n">
        <v>1000000000</v>
      </c>
      <c r="J2" s="6" t="n">
        <v>1684.96151620178</v>
      </c>
      <c r="K2" s="7" t="n">
        <v>0.363945193806592</v>
      </c>
      <c r="L2" s="8" t="n">
        <v>0.134357192623512</v>
      </c>
      <c r="M2" s="7" t="n">
        <v>0.173546604993951</v>
      </c>
      <c r="N2" s="7" t="n">
        <v>-0.00195079238773649</v>
      </c>
      <c r="O2" s="1" t="n">
        <v>211.61693400635</v>
      </c>
      <c r="P2" s="1" t="n">
        <v>200.617410236859</v>
      </c>
    </row>
    <row r="3" customFormat="false" ht="12.8" hidden="false" customHeight="false" outlineLevel="0" collapsed="false">
      <c r="A3" s="4" t="s">
        <v>16</v>
      </c>
      <c r="B3" s="4" t="n">
        <v>2.7</v>
      </c>
      <c r="C3" s="4" t="n">
        <v>65</v>
      </c>
      <c r="D3" s="1" t="n">
        <v>6.96068001980204</v>
      </c>
      <c r="E3" s="4" t="n">
        <v>0</v>
      </c>
      <c r="F3" s="1" t="n">
        <v>0.8</v>
      </c>
      <c r="G3" s="4" t="n">
        <v>1E+021</v>
      </c>
      <c r="H3" s="4" t="n">
        <v>0.3</v>
      </c>
      <c r="I3" s="5" t="n">
        <v>1000000000</v>
      </c>
      <c r="J3" s="6" t="n">
        <v>1679.45276420178</v>
      </c>
      <c r="K3" s="7" t="n">
        <v>0.364290223275455</v>
      </c>
      <c r="L3" s="8" t="n">
        <v>0.133817256102738</v>
      </c>
      <c r="M3" s="7" t="n">
        <v>0.172669102439012</v>
      </c>
      <c r="N3" s="7" t="n">
        <v>-0.00194069410345399</v>
      </c>
      <c r="O3" s="1" t="n">
        <v>211.886590513467</v>
      </c>
      <c r="P3" s="1" t="n">
        <v>200.708806811964</v>
      </c>
    </row>
    <row r="4" customFormat="false" ht="12.8" hidden="false" customHeight="false" outlineLevel="0" collapsed="false">
      <c r="A4" s="4" t="s">
        <v>16</v>
      </c>
      <c r="B4" s="4" t="n">
        <v>2.7</v>
      </c>
      <c r="C4" s="4" t="n">
        <v>70</v>
      </c>
      <c r="D4" s="1" t="n">
        <v>6.89449256836728</v>
      </c>
      <c r="E4" s="4" t="n">
        <v>0</v>
      </c>
      <c r="F4" s="1" t="n">
        <v>0.85</v>
      </c>
      <c r="G4" s="4" t="n">
        <v>1E+021</v>
      </c>
      <c r="H4" s="4" t="n">
        <v>0.3</v>
      </c>
      <c r="I4" s="5" t="n">
        <v>1000000000</v>
      </c>
      <c r="J4" s="6" t="n">
        <v>1702.25010820178</v>
      </c>
      <c r="K4" s="7" t="n">
        <v>0.3640787261227</v>
      </c>
      <c r="L4" s="8" t="n">
        <v>0.136848105420426</v>
      </c>
      <c r="M4" s="7" t="n">
        <v>0.177303174349849</v>
      </c>
      <c r="N4" s="7" t="n">
        <v>-0.00200592354941026</v>
      </c>
      <c r="O4" s="1" t="n">
        <v>211.319156237928</v>
      </c>
      <c r="P4" s="1" t="n">
        <v>200.586660524498</v>
      </c>
    </row>
    <row r="5" customFormat="false" ht="12.8" hidden="false" customHeight="false" outlineLevel="0" collapsed="false">
      <c r="A5" s="4" t="s">
        <v>16</v>
      </c>
      <c r="B5" s="4" t="n">
        <v>2.7</v>
      </c>
      <c r="C5" s="4" t="n">
        <v>65</v>
      </c>
      <c r="D5" s="1" t="n">
        <v>6.8860849912433</v>
      </c>
      <c r="E5" s="4" t="n">
        <v>0</v>
      </c>
      <c r="F5" s="1" t="n">
        <v>0.85</v>
      </c>
      <c r="G5" s="4" t="n">
        <v>1E+021</v>
      </c>
      <c r="H5" s="4" t="n">
        <v>0.3</v>
      </c>
      <c r="I5" s="5" t="n">
        <v>1000000000</v>
      </c>
      <c r="J5" s="6" t="n">
        <v>1697.08034820178</v>
      </c>
      <c r="K5" s="7" t="n">
        <v>0.36442936565857</v>
      </c>
      <c r="L5" s="8" t="n">
        <v>0.13633636962736</v>
      </c>
      <c r="M5" s="7" t="n">
        <v>0.176466593893434</v>
      </c>
      <c r="N5" s="7" t="n">
        <v>-0.00199624372092283</v>
      </c>
      <c r="O5" s="1" t="n">
        <v>211.687122643968</v>
      </c>
      <c r="P5" s="1" t="n">
        <v>200.677188198699</v>
      </c>
    </row>
    <row r="6" customFormat="false" ht="12.8" hidden="false" customHeight="false" outlineLevel="0" collapsed="false">
      <c r="A6" s="4" t="s">
        <v>16</v>
      </c>
      <c r="B6" s="4" t="n">
        <v>2.7</v>
      </c>
      <c r="C6" s="4" t="n">
        <v>70</v>
      </c>
      <c r="D6" s="1" t="n">
        <v>6.82727972483443</v>
      </c>
      <c r="E6" s="4" t="n">
        <v>0</v>
      </c>
      <c r="F6" s="1" t="n">
        <v>0.9</v>
      </c>
      <c r="G6" s="4" t="n">
        <v>1E+021</v>
      </c>
      <c r="H6" s="4" t="n">
        <v>0.3</v>
      </c>
      <c r="I6" s="5" t="n">
        <v>1000000000</v>
      </c>
      <c r="J6" s="6" t="n">
        <v>1719.53870020178</v>
      </c>
      <c r="K6" s="7" t="n">
        <v>0.364215527497463</v>
      </c>
      <c r="L6" s="8" t="n">
        <v>0.139417225618742</v>
      </c>
      <c r="M6" s="7" t="n">
        <v>0.181185013964004</v>
      </c>
      <c r="N6" s="7" t="n">
        <v>-0.00206396630426414</v>
      </c>
      <c r="O6" s="1" t="n">
        <v>211.629598521044</v>
      </c>
      <c r="P6" s="1" t="n">
        <v>200.55183270755</v>
      </c>
    </row>
    <row r="7" customFormat="false" ht="12.8" hidden="false" customHeight="false" outlineLevel="0" collapsed="false">
      <c r="A7" s="4" t="s">
        <v>16</v>
      </c>
      <c r="B7" s="4" t="n">
        <v>2.7</v>
      </c>
      <c r="C7" s="4" t="n">
        <v>65</v>
      </c>
      <c r="D7" s="1" t="n">
        <v>6.82386550669987</v>
      </c>
      <c r="E7" s="4" t="n">
        <v>0</v>
      </c>
      <c r="F7" s="1" t="n">
        <v>0.9</v>
      </c>
      <c r="G7" s="4" t="n">
        <v>1E+021</v>
      </c>
      <c r="H7" s="4" t="n">
        <v>0.3</v>
      </c>
      <c r="I7" s="5" t="n">
        <v>1000000000</v>
      </c>
      <c r="J7" s="6" t="n">
        <v>1714.02994820178</v>
      </c>
      <c r="K7" s="7" t="n">
        <v>0.364558872646425</v>
      </c>
      <c r="L7" s="8" t="n">
        <v>0.138834324886406</v>
      </c>
      <c r="M7" s="7" t="n">
        <v>0.1802391463198</v>
      </c>
      <c r="N7" s="7" t="n">
        <v>-0.00205245805902099</v>
      </c>
      <c r="O7" s="1" t="n">
        <v>212.284552007052</v>
      </c>
      <c r="P7" s="1" t="n">
        <v>200.647163020478</v>
      </c>
    </row>
    <row r="8" customFormat="false" ht="12.8" hidden="false" customHeight="false" outlineLevel="0" collapsed="false">
      <c r="A8" s="4" t="s">
        <v>16</v>
      </c>
      <c r="B8" s="4" t="n">
        <v>2.7</v>
      </c>
      <c r="C8" s="4" t="n">
        <v>70</v>
      </c>
      <c r="D8" s="1" t="n">
        <v>7.03467869646513</v>
      </c>
      <c r="E8" s="4" t="n">
        <v>0</v>
      </c>
      <c r="F8" s="1" t="n">
        <v>0.75</v>
      </c>
      <c r="G8" s="4" t="n">
        <v>1E+021</v>
      </c>
      <c r="H8" s="4" t="n">
        <v>0.3</v>
      </c>
      <c r="I8" s="5" t="n">
        <v>1000000000</v>
      </c>
      <c r="J8" s="6" t="n">
        <v>1667.33393220178</v>
      </c>
      <c r="K8" s="7" t="n">
        <v>0.363808637251156</v>
      </c>
      <c r="L8" s="8" t="n">
        <v>0.131895438650491</v>
      </c>
      <c r="M8" s="7" t="n">
        <v>0.169840031512246</v>
      </c>
      <c r="N8" s="7" t="n">
        <v>-0.00189736241661043</v>
      </c>
      <c r="O8" s="1" t="n">
        <v>210.081481464168</v>
      </c>
      <c r="P8" s="1" t="n">
        <v>200.646826625656</v>
      </c>
    </row>
    <row r="9" customFormat="false" ht="12.8" hidden="false" customHeight="false" outlineLevel="0" collapsed="false">
      <c r="A9" s="4" t="s">
        <v>16</v>
      </c>
      <c r="B9" s="4" t="n">
        <v>2.7</v>
      </c>
      <c r="C9" s="4" t="n">
        <v>65</v>
      </c>
      <c r="D9" s="1" t="n">
        <v>7.03520189688538</v>
      </c>
      <c r="E9" s="4" t="n">
        <v>0</v>
      </c>
      <c r="F9" s="1" t="n">
        <v>0.75</v>
      </c>
      <c r="G9" s="4" t="n">
        <v>1E+021</v>
      </c>
      <c r="H9" s="4" t="n">
        <v>0.3</v>
      </c>
      <c r="I9" s="5" t="n">
        <v>1000000000</v>
      </c>
      <c r="J9" s="6" t="n">
        <v>1661.82518020178</v>
      </c>
      <c r="K9" s="7" t="n">
        <v>0.364154553147223</v>
      </c>
      <c r="L9" s="8" t="n">
        <v>0.131376478285649</v>
      </c>
      <c r="M9" s="7" t="n">
        <v>0.168995367430857</v>
      </c>
      <c r="N9" s="7" t="n">
        <v>-0.00188790678512654</v>
      </c>
      <c r="O9" s="1" t="n">
        <v>210.965128095154</v>
      </c>
      <c r="P9" s="1" t="n">
        <v>200.736286989847</v>
      </c>
    </row>
    <row r="10" customFormat="false" ht="12.8" hidden="false" customHeight="false" outlineLevel="0" collapsed="false">
      <c r="A10" s="4" t="s">
        <v>16</v>
      </c>
      <c r="B10" s="4" t="n">
        <v>2.7</v>
      </c>
      <c r="C10" s="4" t="n">
        <v>60</v>
      </c>
      <c r="D10" s="1" t="n">
        <v>7.02825802000209</v>
      </c>
      <c r="E10" s="4" t="n">
        <v>0</v>
      </c>
      <c r="F10" s="1" t="n">
        <v>0.75</v>
      </c>
      <c r="G10" s="4" t="n">
        <v>1E+021</v>
      </c>
      <c r="H10" s="4" t="n">
        <v>0.3</v>
      </c>
      <c r="I10" s="5" t="n">
        <v>1000000000</v>
      </c>
      <c r="J10" s="6" t="n">
        <v>1656.65542020178</v>
      </c>
      <c r="K10" s="7" t="n">
        <v>0.36451112170928</v>
      </c>
      <c r="L10" s="8" t="n">
        <v>0.130910222673106</v>
      </c>
      <c r="M10" s="7" t="n">
        <v>0.168229953980062</v>
      </c>
      <c r="N10" s="7" t="n">
        <v>-0.00187949408061991</v>
      </c>
      <c r="O10" s="1" t="n">
        <v>210.99250759398</v>
      </c>
      <c r="P10" s="1" t="n">
        <v>200.821978717796</v>
      </c>
    </row>
    <row r="11" customFormat="false" ht="12.8" hidden="false" customHeight="false" outlineLevel="0" collapsed="false">
      <c r="A11" s="4" t="s">
        <v>16</v>
      </c>
      <c r="B11" s="4" t="n">
        <v>2.8</v>
      </c>
      <c r="C11" s="4" t="n">
        <v>72</v>
      </c>
      <c r="D11" s="1" t="n">
        <v>7.02839351383681</v>
      </c>
      <c r="E11" s="4" t="n">
        <v>0</v>
      </c>
      <c r="F11" s="1" t="n">
        <v>0.75</v>
      </c>
      <c r="G11" s="4" t="n">
        <v>1E+021</v>
      </c>
      <c r="H11" s="4" t="n">
        <v>0.3</v>
      </c>
      <c r="I11" s="5" t="n">
        <v>1000000000</v>
      </c>
      <c r="J11" s="6" t="n">
        <v>1657.19812420178</v>
      </c>
      <c r="K11" s="7" t="n">
        <v>0.364497540147134</v>
      </c>
      <c r="L11" s="8" t="n">
        <v>0.13098184275217</v>
      </c>
      <c r="M11" s="7" t="n">
        <v>0.168341118769475</v>
      </c>
      <c r="N11" s="7" t="n">
        <v>-0.00187534656206795</v>
      </c>
      <c r="O11" s="1" t="n">
        <v>210.981177394739</v>
      </c>
      <c r="P11" s="1" t="n">
        <v>200.817140012261</v>
      </c>
    </row>
    <row r="12" s="15" customFormat="true" ht="12.8" hidden="false" customHeight="false" outlineLevel="0" collapsed="false">
      <c r="A12" s="9" t="s">
        <v>16</v>
      </c>
      <c r="B12" s="9" t="n">
        <v>2.7</v>
      </c>
      <c r="C12" s="9" t="n">
        <v>70</v>
      </c>
      <c r="D12" s="10" t="n">
        <v>7.11408949638704</v>
      </c>
      <c r="E12" s="9" t="n">
        <v>0</v>
      </c>
      <c r="F12" s="10" t="n">
        <v>0.7</v>
      </c>
      <c r="G12" s="9" t="n">
        <v>1E+021</v>
      </c>
      <c r="H12" s="9" t="n">
        <v>0.3</v>
      </c>
      <c r="I12" s="11" t="n">
        <v>1000000000</v>
      </c>
      <c r="J12" s="12" t="n">
        <v>1649.37037391792</v>
      </c>
      <c r="K12" s="13" t="n">
        <v>0.363669399604489</v>
      </c>
      <c r="L12" s="14" t="n">
        <v>0.129463841679166</v>
      </c>
      <c r="M12" s="13" t="n">
        <v>0.166194926565554</v>
      </c>
      <c r="N12" s="13" t="n">
        <v>-0.00182340110038184</v>
      </c>
      <c r="O12" s="10" t="n">
        <v>210.99759696775</v>
      </c>
      <c r="P12" s="10" t="n">
        <v>200.674410295133</v>
      </c>
    </row>
    <row r="13" customFormat="false" ht="12.8" hidden="false" customHeight="false" outlineLevel="0" collapsed="false">
      <c r="A13" s="4" t="s">
        <v>17</v>
      </c>
      <c r="B13" s="4" t="n">
        <v>2.7</v>
      </c>
      <c r="C13" s="4" t="n">
        <v>72</v>
      </c>
      <c r="D13" s="1" t="n">
        <v>6.95121528123534</v>
      </c>
      <c r="E13" s="4" t="n">
        <v>0</v>
      </c>
      <c r="F13" s="1" t="n">
        <v>0.8</v>
      </c>
      <c r="G13" s="4" t="n">
        <v>1E+021</v>
      </c>
      <c r="H13" s="4" t="n">
        <v>0.3</v>
      </c>
      <c r="I13" s="5" t="n">
        <v>1000000000</v>
      </c>
      <c r="J13" s="6" t="n">
        <v>1676.52066820178</v>
      </c>
      <c r="K13" s="7" t="n">
        <v>0.364760455099046</v>
      </c>
      <c r="L13" s="8" t="n">
        <v>0.131948539497859</v>
      </c>
      <c r="M13" s="7" t="n">
        <v>0.168856279669239</v>
      </c>
      <c r="N13" s="7" t="n">
        <v>-0.00203975753774158</v>
      </c>
      <c r="O13" s="1" t="n">
        <v>211.383826375872</v>
      </c>
      <c r="P13" s="1" t="n">
        <v>200.487909336627</v>
      </c>
    </row>
    <row r="14" customFormat="false" ht="12.8" hidden="false" customHeight="false" outlineLevel="0" collapsed="false">
      <c r="A14" s="4" t="s">
        <v>17</v>
      </c>
      <c r="B14" s="4" t="n">
        <v>2.7</v>
      </c>
      <c r="C14" s="4" t="n">
        <v>72</v>
      </c>
      <c r="D14" s="1" t="n">
        <v>7.03122701039371</v>
      </c>
      <c r="E14" s="4" t="n">
        <v>0</v>
      </c>
      <c r="F14" s="1" t="n">
        <v>0.75</v>
      </c>
      <c r="G14" s="4" t="n">
        <v>1E+021</v>
      </c>
      <c r="H14" s="4" t="n">
        <v>0.3</v>
      </c>
      <c r="I14" s="5" t="n">
        <v>1000000000</v>
      </c>
      <c r="J14" s="6" t="n">
        <v>1658.89308420178</v>
      </c>
      <c r="K14" s="7" t="n">
        <v>0.364620519678747</v>
      </c>
      <c r="L14" s="8" t="n">
        <v>0.129636989894501</v>
      </c>
      <c r="M14" s="7" t="n">
        <v>0.165427786665076</v>
      </c>
      <c r="N14" s="7" t="n">
        <v>-0.00198410461522763</v>
      </c>
      <c r="O14" s="1" t="n">
        <v>210.687856528564</v>
      </c>
      <c r="P14" s="1" t="n">
        <v>200.535041125142</v>
      </c>
    </row>
    <row r="15" s="15" customFormat="true" ht="12.8" hidden="false" customHeight="false" outlineLevel="0" collapsed="false">
      <c r="A15" s="9" t="s">
        <v>17</v>
      </c>
      <c r="B15" s="9" t="n">
        <v>2.7</v>
      </c>
      <c r="C15" s="9" t="n">
        <v>72</v>
      </c>
      <c r="D15" s="10" t="n">
        <v>6.88373526580561</v>
      </c>
      <c r="E15" s="9" t="n">
        <v>0</v>
      </c>
      <c r="F15" s="10" t="n">
        <v>0.85</v>
      </c>
      <c r="G15" s="9" t="n">
        <v>1E+021</v>
      </c>
      <c r="H15" s="9" t="n">
        <v>0.3</v>
      </c>
      <c r="I15" s="11" t="n">
        <v>1000000000</v>
      </c>
      <c r="J15" s="12" t="n">
        <v>1693.47026820178</v>
      </c>
      <c r="K15" s="13" t="n">
        <v>0.364891096909981</v>
      </c>
      <c r="L15" s="14" t="n">
        <v>0.134237677947668</v>
      </c>
      <c r="M15" s="13" t="n">
        <v>0.172255012023627</v>
      </c>
      <c r="N15" s="13" t="n">
        <v>-0.00209603738692854</v>
      </c>
      <c r="O15" s="10" t="n">
        <v>210.848385936429</v>
      </c>
      <c r="P15" s="10" t="n">
        <v>200.441740699389</v>
      </c>
    </row>
    <row r="16" customFormat="false" ht="12.8" hidden="false" customHeight="false" outlineLevel="0" collapsed="false">
      <c r="A16" s="4" t="s">
        <v>18</v>
      </c>
      <c r="B16" s="4" t="n">
        <v>2.7</v>
      </c>
      <c r="C16" s="4" t="n">
        <v>50</v>
      </c>
      <c r="D16" s="1" t="n">
        <v>6.97128511358929</v>
      </c>
      <c r="E16" s="4" t="n">
        <v>0</v>
      </c>
      <c r="F16" s="1" t="n">
        <v>0.8</v>
      </c>
      <c r="G16" s="4" t="n">
        <v>1E+021</v>
      </c>
      <c r="H16" s="4" t="n">
        <v>0.3</v>
      </c>
      <c r="I16" s="5" t="n">
        <v>1000000000</v>
      </c>
      <c r="J16" s="6" t="n">
        <v>1711.40236420178</v>
      </c>
      <c r="K16" s="7" t="n">
        <v>0.363466760554913</v>
      </c>
      <c r="L16" s="8" t="n">
        <v>0.137885874629163</v>
      </c>
      <c r="M16" s="7" t="n">
        <v>0.178635325864791</v>
      </c>
      <c r="N16" s="7" t="n">
        <v>-0.00202623973428712</v>
      </c>
      <c r="O16" s="1" t="n">
        <v>212.190587733739</v>
      </c>
      <c r="P16" s="1" t="n">
        <v>200.318509785884</v>
      </c>
      <c r="Q16" s="16" t="n">
        <f aca="false">ABS(K16-0.36395)/0.0012</f>
        <v>0.402699537572493</v>
      </c>
      <c r="R16" s="16" t="n">
        <f aca="false">ABS(M16-0.17355)/0.016</f>
        <v>0.317832866549437</v>
      </c>
      <c r="S16" s="17" t="n">
        <f aca="false">SQRT(Q16*Q16+R16*R16)</f>
        <v>0.513015251839681</v>
      </c>
    </row>
    <row r="17" customFormat="false" ht="12.8" hidden="false" customHeight="false" outlineLevel="0" collapsed="false">
      <c r="A17" s="4" t="s">
        <v>18</v>
      </c>
      <c r="B17" s="4" t="n">
        <v>2.7</v>
      </c>
      <c r="C17" s="4" t="n">
        <v>45</v>
      </c>
      <c r="D17" s="1" t="n">
        <v>6.9673750422963</v>
      </c>
      <c r="E17" s="4" t="n">
        <v>0</v>
      </c>
      <c r="F17" s="1" t="n">
        <v>0.8</v>
      </c>
      <c r="G17" s="4" t="n">
        <v>1E+021</v>
      </c>
      <c r="H17" s="4" t="n">
        <v>0.3</v>
      </c>
      <c r="I17" s="5" t="n">
        <v>1000000000</v>
      </c>
      <c r="J17" s="6" t="n">
        <v>1706.57159620178</v>
      </c>
      <c r="K17" s="7" t="n">
        <v>0.363796781181567</v>
      </c>
      <c r="L17" s="8" t="n">
        <v>0.137406219593559</v>
      </c>
      <c r="M17" s="7" t="n">
        <v>0.177854799577435</v>
      </c>
      <c r="N17" s="7" t="n">
        <v>-0.00201713211176385</v>
      </c>
      <c r="O17" s="1" t="n">
        <v>211.873111410791</v>
      </c>
      <c r="P17" s="1" t="n">
        <v>200.408352250681</v>
      </c>
      <c r="Q17" s="16" t="n">
        <f aca="false">ABS(K17-0.36395)/0.0012</f>
        <v>0.127682348694165</v>
      </c>
      <c r="R17" s="16" t="n">
        <f aca="false">ABS(M17-0.17355)/0.016</f>
        <v>0.269049973589687</v>
      </c>
      <c r="S17" s="17" t="n">
        <f aca="false">SQRT(Q17*Q17+R17*R17)</f>
        <v>0.297809789054473</v>
      </c>
    </row>
    <row r="18" customFormat="false" ht="12.8" hidden="false" customHeight="false" outlineLevel="0" collapsed="false">
      <c r="A18" s="4" t="s">
        <v>18</v>
      </c>
      <c r="B18" s="4" t="n">
        <v>2.7</v>
      </c>
      <c r="C18" s="4" t="n">
        <v>40</v>
      </c>
      <c r="D18" s="1" t="n">
        <v>6.9630715612575</v>
      </c>
      <c r="E18" s="4" t="n">
        <v>0</v>
      </c>
      <c r="F18" s="1" t="n">
        <v>0.8</v>
      </c>
      <c r="G18" s="4" t="n">
        <v>1E+021</v>
      </c>
      <c r="H18" s="4" t="n">
        <v>0.3</v>
      </c>
      <c r="I18" s="5" t="n">
        <v>1000000000</v>
      </c>
      <c r="J18" s="6" t="n">
        <v>1701.74082820178</v>
      </c>
      <c r="K18" s="7" t="n">
        <v>0.364128858219047</v>
      </c>
      <c r="L18" s="8" t="n">
        <v>0.136931227201516</v>
      </c>
      <c r="M18" s="7" t="n">
        <v>0.177081463309225</v>
      </c>
      <c r="N18" s="7" t="n">
        <v>-0.00200816220222699</v>
      </c>
      <c r="O18" s="1" t="n">
        <v>211.466696221113</v>
      </c>
      <c r="P18" s="1" t="n">
        <v>200.497060612992</v>
      </c>
      <c r="Q18" s="16" t="n">
        <f aca="false">ABS(K18-0.36395)/0.0012</f>
        <v>0.149048515872506</v>
      </c>
      <c r="R18" s="16" t="n">
        <f aca="false">ABS(M18-0.17355)/0.016</f>
        <v>0.220716456826562</v>
      </c>
      <c r="S18" s="17" t="n">
        <f aca="false">SQRT(Q18*Q18+R18*R18)</f>
        <v>0.266329146729884</v>
      </c>
    </row>
    <row r="19" customFormat="false" ht="12.8" hidden="false" customHeight="false" outlineLevel="0" collapsed="false">
      <c r="A19" s="4" t="s">
        <v>18</v>
      </c>
      <c r="B19" s="4" t="n">
        <v>2.7</v>
      </c>
      <c r="C19" s="4" t="n">
        <v>35</v>
      </c>
      <c r="D19" s="1" t="n">
        <v>6.96487649863634</v>
      </c>
      <c r="E19" s="4" t="n">
        <v>0</v>
      </c>
      <c r="F19" s="1" t="n">
        <v>0.8</v>
      </c>
      <c r="G19" s="4" t="n">
        <v>1E+021</v>
      </c>
      <c r="H19" s="4" t="n">
        <v>0.3</v>
      </c>
      <c r="I19" s="5" t="n">
        <v>1000000000</v>
      </c>
      <c r="J19" s="6" t="n">
        <v>1696.57106820178</v>
      </c>
      <c r="K19" s="7" t="n">
        <v>0.364456276256246</v>
      </c>
      <c r="L19" s="8" t="n">
        <v>0.13641193152427</v>
      </c>
      <c r="M19" s="7" t="n">
        <v>0.176241798123999</v>
      </c>
      <c r="N19" s="7" t="n">
        <v>-0.00199823970857388</v>
      </c>
      <c r="O19" s="1" t="n">
        <v>211.096389474564</v>
      </c>
      <c r="P19" s="1" t="n">
        <v>200.587629002737</v>
      </c>
      <c r="Q19" s="16" t="n">
        <f aca="false">ABS(K19-0.36395)/0.0012</f>
        <v>0.421896880204997</v>
      </c>
      <c r="R19" s="16" t="n">
        <f aca="false">ABS(M19-0.17355)/0.016</f>
        <v>0.168237382749938</v>
      </c>
      <c r="S19" s="17" t="n">
        <f aca="false">SQRT(Q19*Q19+R19*R19)</f>
        <v>0.454203472555262</v>
      </c>
    </row>
    <row r="20" customFormat="false" ht="12.8" hidden="false" customHeight="false" outlineLevel="0" collapsed="false">
      <c r="A20" s="4" t="s">
        <v>18</v>
      </c>
      <c r="B20" s="4" t="n">
        <v>2.8</v>
      </c>
      <c r="C20" s="4" t="n">
        <v>50</v>
      </c>
      <c r="D20" s="1" t="n">
        <v>6.96754340941894</v>
      </c>
      <c r="E20" s="4" t="n">
        <v>0</v>
      </c>
      <c r="F20" s="1" t="n">
        <v>0.8</v>
      </c>
      <c r="G20" s="4" t="n">
        <v>1E+021</v>
      </c>
      <c r="H20" s="4" t="n">
        <v>0.3</v>
      </c>
      <c r="I20" s="5" t="n">
        <v>1000000000</v>
      </c>
      <c r="J20" s="6" t="n">
        <v>1702.92756420178</v>
      </c>
      <c r="K20" s="7" t="n">
        <v>0.364042505411938</v>
      </c>
      <c r="L20" s="8" t="n">
        <v>0.13705208261008</v>
      </c>
      <c r="M20" s="7" t="n">
        <v>0.177276557412973</v>
      </c>
      <c r="N20" s="7" t="n">
        <v>-0.00200633823737195</v>
      </c>
      <c r="O20" s="1" t="n">
        <v>211.457209294448</v>
      </c>
      <c r="P20" s="1" t="n">
        <v>200.476080262963</v>
      </c>
      <c r="Q20" s="16" t="n">
        <f aca="false">ABS(K20-0.36395)/0.0012</f>
        <v>0.0770878432816702</v>
      </c>
      <c r="R20" s="16" t="n">
        <f aca="false">ABS(M20-0.17355)/0.016</f>
        <v>0.232909838310811</v>
      </c>
      <c r="S20" s="17" t="n">
        <f aca="false">SQRT(Q20*Q20+R20*R20)</f>
        <v>0.245335542398136</v>
      </c>
    </row>
    <row r="21" customFormat="false" ht="12.8" hidden="false" customHeight="false" outlineLevel="0" collapsed="false">
      <c r="A21" s="4" t="s">
        <v>18</v>
      </c>
      <c r="B21" s="4" t="n">
        <v>2.8</v>
      </c>
      <c r="C21" s="4" t="n">
        <v>55</v>
      </c>
      <c r="D21" s="1" t="n">
        <v>6.96854336497301</v>
      </c>
      <c r="E21" s="4" t="n">
        <v>0</v>
      </c>
      <c r="F21" s="1" t="n">
        <v>0.8</v>
      </c>
      <c r="G21" s="4" t="n">
        <v>1E+021</v>
      </c>
      <c r="H21" s="4" t="n">
        <v>0.3</v>
      </c>
      <c r="I21" s="5" t="n">
        <v>1000000000</v>
      </c>
      <c r="J21" s="6" t="n">
        <v>1707.08034820178</v>
      </c>
      <c r="K21" s="7" t="n">
        <v>0.363771112363272</v>
      </c>
      <c r="L21" s="8" t="n">
        <v>0.137469040405275</v>
      </c>
      <c r="M21" s="7" t="n">
        <v>0.177952264661697</v>
      </c>
      <c r="N21" s="7" t="n">
        <v>-0.00201395801993737</v>
      </c>
      <c r="O21" s="1" t="n">
        <v>210.828610450408</v>
      </c>
      <c r="P21" s="1" t="n">
        <v>200.401160464015</v>
      </c>
      <c r="Q21" s="16" t="n">
        <f aca="false">ABS(K21-0.36395)/0.0012</f>
        <v>0.149073030606683</v>
      </c>
      <c r="R21" s="16" t="n">
        <f aca="false">ABS(M21-0.17355)/0.016</f>
        <v>0.275141541356062</v>
      </c>
      <c r="S21" s="17" t="n">
        <f aca="false">SQRT(Q21*Q21+R21*R21)</f>
        <v>0.312930721141359</v>
      </c>
    </row>
    <row r="22" customFormat="false" ht="12.8" hidden="false" customHeight="false" outlineLevel="0" collapsed="false">
      <c r="A22" s="4" t="s">
        <v>18</v>
      </c>
      <c r="B22" s="4" t="n">
        <v>2.8</v>
      </c>
      <c r="C22" s="4" t="n">
        <v>60</v>
      </c>
      <c r="D22" s="1" t="n">
        <v>6.96934163811315</v>
      </c>
      <c r="E22" s="4" t="n">
        <v>0</v>
      </c>
      <c r="F22" s="1" t="n">
        <v>0.8</v>
      </c>
      <c r="G22" s="4" t="n">
        <v>1E+021</v>
      </c>
      <c r="H22" s="4" t="n">
        <v>0.3</v>
      </c>
      <c r="I22" s="5" t="n">
        <v>1000000000</v>
      </c>
      <c r="J22" s="6" t="n">
        <v>1711.23313220178</v>
      </c>
      <c r="K22" s="7" t="n">
        <v>0.363500955780577</v>
      </c>
      <c r="L22" s="8" t="n">
        <v>0.137889487253905</v>
      </c>
      <c r="M22" s="7" t="n">
        <v>0.17863341307873</v>
      </c>
      <c r="N22" s="7" t="n">
        <v>-0.00202167201391343</v>
      </c>
      <c r="O22" s="1" t="n">
        <v>211.422580683241</v>
      </c>
      <c r="P22" s="1" t="n">
        <v>200.325410109461</v>
      </c>
      <c r="Q22" s="16" t="n">
        <f aca="false">ABS(K22-0.36395)/0.0012</f>
        <v>0.374203516185825</v>
      </c>
      <c r="R22" s="16" t="n">
        <f aca="false">ABS(M22-0.17355)/0.016</f>
        <v>0.317713317420625</v>
      </c>
      <c r="S22" s="17" t="n">
        <f aca="false">SQRT(Q22*Q22+R22*R22)</f>
        <v>0.490886976392992</v>
      </c>
    </row>
    <row r="23" customFormat="false" ht="12.8" hidden="false" customHeight="false" outlineLevel="0" collapsed="false">
      <c r="A23" s="4" t="s">
        <v>18</v>
      </c>
      <c r="B23" s="4" t="n">
        <v>2.8</v>
      </c>
      <c r="C23" s="4" t="n">
        <v>45</v>
      </c>
      <c r="D23" s="1" t="n">
        <v>6.96630481622182</v>
      </c>
      <c r="E23" s="4" t="n">
        <v>0</v>
      </c>
      <c r="F23" s="1" t="n">
        <v>0.8</v>
      </c>
      <c r="G23" s="4" t="n">
        <v>1E+021</v>
      </c>
      <c r="H23" s="4" t="n">
        <v>0.3</v>
      </c>
      <c r="I23" s="5" t="n">
        <v>1000000000</v>
      </c>
      <c r="J23" s="6" t="n">
        <v>1698.77478020178</v>
      </c>
      <c r="K23" s="7" t="n">
        <v>0.364315410807233</v>
      </c>
      <c r="L23" s="8" t="n">
        <v>0.136638551122809</v>
      </c>
      <c r="M23" s="7" t="n">
        <v>0.176606141245582</v>
      </c>
      <c r="N23" s="7" t="n">
        <v>-0.00199881171160748</v>
      </c>
      <c r="O23" s="1" t="n">
        <v>210.814771101837</v>
      </c>
      <c r="P23" s="1" t="n">
        <v>200.550155752928</v>
      </c>
      <c r="Q23" s="16" t="n">
        <f aca="false">ABS(K23-0.36395)/0.0012</f>
        <v>0.304509006027511</v>
      </c>
      <c r="R23" s="16" t="n">
        <f aca="false">ABS(M23-0.17355)/0.016</f>
        <v>0.191008827848874</v>
      </c>
      <c r="S23" s="17" t="n">
        <f aca="false">SQRT(Q23*Q23+R23*R23)</f>
        <v>0.359458074145043</v>
      </c>
    </row>
    <row r="24" customFormat="false" ht="12.8" hidden="false" customHeight="false" outlineLevel="0" collapsed="false">
      <c r="A24" s="4" t="s">
        <v>18</v>
      </c>
      <c r="B24" s="4" t="n">
        <v>2.8</v>
      </c>
      <c r="C24" s="4" t="n">
        <v>40</v>
      </c>
      <c r="D24" s="1" t="n">
        <v>6.95833154716396</v>
      </c>
      <c r="E24" s="4" t="n">
        <v>0</v>
      </c>
      <c r="F24" s="1" t="n">
        <v>0.8</v>
      </c>
      <c r="G24" s="4" t="n">
        <v>1E+021</v>
      </c>
      <c r="H24" s="4" t="n">
        <v>0.3</v>
      </c>
      <c r="I24" s="5" t="n">
        <v>1000000000</v>
      </c>
      <c r="J24" s="6" t="n">
        <v>1694.96098820178</v>
      </c>
      <c r="K24" s="7" t="n">
        <v>0.364596231279975</v>
      </c>
      <c r="L24" s="8" t="n">
        <v>0.136277244991251</v>
      </c>
      <c r="M24" s="7" t="n">
        <v>0.176014274085226</v>
      </c>
      <c r="N24" s="7" t="n">
        <v>-0.00199246273123047</v>
      </c>
      <c r="O24" s="1" t="n">
        <v>211.272741471391</v>
      </c>
      <c r="P24" s="1" t="n">
        <v>200.620439730763</v>
      </c>
      <c r="Q24" s="16" t="n">
        <f aca="false">ABS(K24-0.36395)/0.0012</f>
        <v>0.538526066645821</v>
      </c>
      <c r="R24" s="16" t="n">
        <f aca="false">ABS(M24-0.17355)/0.016</f>
        <v>0.154017130326624</v>
      </c>
      <c r="S24" s="17" t="n">
        <f aca="false">SQRT(Q24*Q24+R24*R24)</f>
        <v>0.560117488471006</v>
      </c>
    </row>
    <row r="25" customFormat="false" ht="12.8" hidden="false" customHeight="false" outlineLevel="0" collapsed="false">
      <c r="A25" s="4" t="s">
        <v>18</v>
      </c>
      <c r="B25" s="4" t="n">
        <v>2.9</v>
      </c>
      <c r="C25" s="4" t="n">
        <v>60</v>
      </c>
      <c r="D25" s="1" t="n">
        <v>6.96533821088783</v>
      </c>
      <c r="E25" s="4" t="n">
        <v>0</v>
      </c>
      <c r="F25" s="1" t="n">
        <v>0.8</v>
      </c>
      <c r="G25" s="4" t="n">
        <v>1E+021</v>
      </c>
      <c r="H25" s="4" t="n">
        <v>0.3</v>
      </c>
      <c r="I25" s="5" t="n">
        <v>1000000000</v>
      </c>
      <c r="J25" s="6" t="n">
        <v>1701.06337220178</v>
      </c>
      <c r="K25" s="7" t="n">
        <v>0.364186360194009</v>
      </c>
      <c r="L25" s="8" t="n">
        <v>0.136888418061617</v>
      </c>
      <c r="M25" s="7" t="n">
        <v>0.177002822895108</v>
      </c>
      <c r="N25" s="7" t="n">
        <v>-0.00199789274708379</v>
      </c>
      <c r="O25" s="1" t="n">
        <v>211.448080116824</v>
      </c>
      <c r="P25" s="1" t="n">
        <v>200.513488677925</v>
      </c>
      <c r="Q25" s="16" t="n">
        <f aca="false">ABS(K25-0.36395)/0.0012</f>
        <v>0.196966828340852</v>
      </c>
      <c r="R25" s="16" t="n">
        <f aca="false">ABS(M25-0.17355)/0.016</f>
        <v>0.215801430944249</v>
      </c>
      <c r="S25" s="17" t="n">
        <f aca="false">SQRT(Q25*Q25+R25*R25)</f>
        <v>0.292174928876932</v>
      </c>
    </row>
    <row r="26" customFormat="false" ht="12.8" hidden="false" customHeight="false" outlineLevel="0" collapsed="false">
      <c r="A26" s="4" t="s">
        <v>18</v>
      </c>
      <c r="B26" s="4" t="n">
        <v>2.9</v>
      </c>
      <c r="C26" s="4" t="n">
        <v>65</v>
      </c>
      <c r="D26" s="1" t="n">
        <v>6.96366642629069</v>
      </c>
      <c r="E26" s="4" t="n">
        <v>0</v>
      </c>
      <c r="F26" s="1" t="n">
        <v>0.8</v>
      </c>
      <c r="G26" s="4" t="n">
        <v>1E+021</v>
      </c>
      <c r="H26" s="4" t="n">
        <v>0.3</v>
      </c>
      <c r="I26" s="5" t="n">
        <v>1000000000</v>
      </c>
      <c r="J26" s="6" t="n">
        <v>1704.53817220178</v>
      </c>
      <c r="K26" s="7" t="n">
        <v>0.363972382293502</v>
      </c>
      <c r="L26" s="8" t="n">
        <v>0.137244297302066</v>
      </c>
      <c r="M26" s="7" t="n">
        <v>0.177576539971339</v>
      </c>
      <c r="N26" s="7" t="n">
        <v>-0.00200406588512631</v>
      </c>
      <c r="O26" s="1" t="n">
        <v>211.445201204408</v>
      </c>
      <c r="P26" s="1" t="n">
        <v>200.452786957298</v>
      </c>
      <c r="Q26" s="16" t="n">
        <f aca="false">ABS(K26-0.36395)/0.0012</f>
        <v>0.0186519112516566</v>
      </c>
      <c r="R26" s="16" t="n">
        <f aca="false">ABS(M26-0.17355)/0.016</f>
        <v>0.251658748208686</v>
      </c>
      <c r="S26" s="17" t="n">
        <f aca="false">SQRT(Q26*Q26+R26*R26)</f>
        <v>0.252349003055892</v>
      </c>
    </row>
    <row r="27" customFormat="false" ht="12.8" hidden="false" customHeight="false" outlineLevel="0" collapsed="false">
      <c r="A27" s="4" t="s">
        <v>18</v>
      </c>
      <c r="B27" s="4" t="n">
        <v>2.9</v>
      </c>
      <c r="C27" s="4" t="n">
        <v>70</v>
      </c>
      <c r="D27" s="1" t="n">
        <v>6.96879326493553</v>
      </c>
      <c r="E27" s="4" t="n">
        <v>0</v>
      </c>
      <c r="F27" s="1" t="n">
        <v>0.8</v>
      </c>
      <c r="G27" s="4" t="n">
        <v>1E+021</v>
      </c>
      <c r="H27" s="4" t="n">
        <v>0.3</v>
      </c>
      <c r="I27" s="5" t="n">
        <v>1000000000</v>
      </c>
      <c r="J27" s="6" t="n">
        <v>1707.67398020178</v>
      </c>
      <c r="K27" s="7" t="n">
        <v>0.363751104881932</v>
      </c>
      <c r="L27" s="8" t="n">
        <v>0.137552014857201</v>
      </c>
      <c r="M27" s="7" t="n">
        <v>0.178078352999441</v>
      </c>
      <c r="N27" s="7" t="n">
        <v>-0.00200916271920859</v>
      </c>
      <c r="O27" s="1" t="n">
        <v>211.719991461914</v>
      </c>
      <c r="P27" s="1" t="n">
        <v>200.394504091237</v>
      </c>
      <c r="Q27" s="16" t="n">
        <f aca="false">ABS(K27-0.36395)/0.0012</f>
        <v>0.165745931723314</v>
      </c>
      <c r="R27" s="16" t="n">
        <f aca="false">ABS(M27-0.17355)/0.016</f>
        <v>0.283022062465062</v>
      </c>
      <c r="S27" s="17" t="n">
        <f aca="false">SQRT(Q27*Q27+R27*R27)</f>
        <v>0.327983538801579</v>
      </c>
    </row>
    <row r="28" customFormat="false" ht="12.8" hidden="false" customHeight="false" outlineLevel="0" collapsed="false">
      <c r="A28" s="4" t="s">
        <v>18</v>
      </c>
      <c r="B28" s="4" t="n">
        <v>2.9</v>
      </c>
      <c r="C28" s="4" t="n">
        <v>55</v>
      </c>
      <c r="D28" s="1" t="n">
        <v>6.96054439206154</v>
      </c>
      <c r="E28" s="4" t="n">
        <v>0</v>
      </c>
      <c r="F28" s="1" t="n">
        <v>0.8</v>
      </c>
      <c r="G28" s="4" t="n">
        <v>1E+021</v>
      </c>
      <c r="H28" s="4" t="n">
        <v>0.3</v>
      </c>
      <c r="I28" s="5" t="n">
        <v>1000000000</v>
      </c>
      <c r="J28" s="6" t="n">
        <v>1697.92756420178</v>
      </c>
      <c r="K28" s="7" t="n">
        <v>0.364407061378191</v>
      </c>
      <c r="L28" s="8" t="n">
        <v>0.136583795995044</v>
      </c>
      <c r="M28" s="7" t="n">
        <v>0.176506279462929</v>
      </c>
      <c r="N28" s="7" t="n">
        <v>-0.00199286943222538</v>
      </c>
      <c r="O28" s="1" t="n">
        <v>211.972954005771</v>
      </c>
      <c r="P28" s="1" t="n">
        <v>200.570552139227</v>
      </c>
      <c r="Q28" s="16" t="n">
        <f aca="false">ABS(K28-0.36395)/0.0012</f>
        <v>0.380884481825846</v>
      </c>
      <c r="R28" s="16" t="n">
        <f aca="false">ABS(M28-0.17355)/0.016</f>
        <v>0.184767466433061</v>
      </c>
      <c r="S28" s="17" t="n">
        <f aca="false">SQRT(Q28*Q28+R28*R28)</f>
        <v>0.423334389280903</v>
      </c>
    </row>
    <row r="29" customFormat="false" ht="12.8" hidden="false" customHeight="false" outlineLevel="0" collapsed="false">
      <c r="A29" s="4" t="s">
        <v>18</v>
      </c>
      <c r="B29" s="4" t="n">
        <v>3</v>
      </c>
      <c r="C29" s="4" t="n">
        <v>70</v>
      </c>
      <c r="D29" s="1" t="n">
        <v>6.96411772236606</v>
      </c>
      <c r="E29" s="4" t="n">
        <v>0</v>
      </c>
      <c r="F29" s="1" t="n">
        <v>0.8</v>
      </c>
      <c r="G29" s="4" t="n">
        <v>1E+021</v>
      </c>
      <c r="H29" s="4" t="n">
        <v>0.3</v>
      </c>
      <c r="I29" s="5" t="n">
        <v>1000000000</v>
      </c>
      <c r="J29" s="6" t="n">
        <v>1695.80926020178</v>
      </c>
      <c r="K29" s="7" t="n">
        <v>0.364544893486187</v>
      </c>
      <c r="L29" s="8" t="n">
        <v>0.136390893954469</v>
      </c>
      <c r="M29" s="7" t="n">
        <v>0.176187592238074</v>
      </c>
      <c r="N29" s="7" t="n">
        <v>-0.00198175145765783</v>
      </c>
      <c r="O29" s="1" t="n">
        <v>211.297445381609</v>
      </c>
      <c r="P29" s="1" t="n">
        <v>200.610683446649</v>
      </c>
      <c r="Q29" s="16" t="n">
        <f aca="false">ABS(K29-0.36395)/0.0012</f>
        <v>0.495744571822517</v>
      </c>
      <c r="R29" s="16" t="n">
        <f aca="false">ABS(M29-0.17355)/0.016</f>
        <v>0.164849514879625</v>
      </c>
      <c r="S29" s="17" t="n">
        <f aca="false">SQRT(Q29*Q29+R29*R29)</f>
        <v>0.522434726111826</v>
      </c>
    </row>
    <row r="30" customFormat="false" ht="12.8" hidden="false" customHeight="false" outlineLevel="0" collapsed="false">
      <c r="A30" s="4" t="s">
        <v>18</v>
      </c>
      <c r="B30" s="4" t="n">
        <v>2.7</v>
      </c>
      <c r="C30" s="4" t="n">
        <v>45</v>
      </c>
      <c r="D30" s="1" t="n">
        <v>6.89685245791444</v>
      </c>
      <c r="E30" s="4" t="n">
        <v>0</v>
      </c>
      <c r="F30" s="1" t="n">
        <v>0.85</v>
      </c>
      <c r="G30" s="4" t="n">
        <v>1E+021</v>
      </c>
      <c r="H30" s="4" t="n">
        <v>0.3</v>
      </c>
      <c r="I30" s="5" t="n">
        <v>1000000000</v>
      </c>
      <c r="J30" s="6" t="n">
        <v>1724.19918020178</v>
      </c>
      <c r="K30" s="7" t="n">
        <v>0.363942902566242</v>
      </c>
      <c r="L30" s="8" t="n">
        <v>0.140027838460648</v>
      </c>
      <c r="M30" s="7" t="n">
        <v>0.181799129107431</v>
      </c>
      <c r="N30" s="7" t="n">
        <v>-0.00207660895769829</v>
      </c>
      <c r="O30" s="1" t="n">
        <v>212.695044452769</v>
      </c>
      <c r="P30" s="1" t="n">
        <v>200.366683977925</v>
      </c>
      <c r="Q30" s="16" t="n">
        <f aca="false">ABS(K30-0.36395)/0.0012</f>
        <v>0.00591452813165453</v>
      </c>
      <c r="R30" s="16" t="n">
        <f aca="false">ABS(M30-0.17355)/0.016</f>
        <v>0.515570569214438</v>
      </c>
      <c r="S30" s="17" t="n">
        <f aca="false">SQRT(Q30*Q30+R30*R30)</f>
        <v>0.515604493272818</v>
      </c>
    </row>
    <row r="31" customFormat="false" ht="12.8" hidden="false" customHeight="false" outlineLevel="0" collapsed="false">
      <c r="A31" s="4" t="s">
        <v>18</v>
      </c>
      <c r="B31" s="4" t="n">
        <v>2.7</v>
      </c>
      <c r="C31" s="4" t="n">
        <v>40</v>
      </c>
      <c r="D31" s="1" t="n">
        <v>6.89782854486386</v>
      </c>
      <c r="E31" s="4" t="n">
        <v>0</v>
      </c>
      <c r="F31" s="1" t="n">
        <v>0.85</v>
      </c>
      <c r="G31" s="4" t="n">
        <v>1E+021</v>
      </c>
      <c r="H31" s="4" t="n">
        <v>0.3</v>
      </c>
      <c r="I31" s="5" t="n">
        <v>1000000000</v>
      </c>
      <c r="J31" s="6" t="n">
        <v>1719.02942020178</v>
      </c>
      <c r="K31" s="7" t="n">
        <v>0.36426735120353</v>
      </c>
      <c r="L31" s="8" t="n">
        <v>0.139482846037097</v>
      </c>
      <c r="M31" s="7" t="n">
        <v>0.180919074172299</v>
      </c>
      <c r="N31" s="7" t="n">
        <v>-0.00206584145666282</v>
      </c>
      <c r="O31" s="1" t="n">
        <v>211.49558551415</v>
      </c>
      <c r="P31" s="1" t="n">
        <v>200.460449114156</v>
      </c>
      <c r="Q31" s="16" t="n">
        <f aca="false">ABS(K31-0.36395)/0.0012</f>
        <v>0.264459336274993</v>
      </c>
      <c r="R31" s="16" t="n">
        <f aca="false">ABS(M31-0.17355)/0.016</f>
        <v>0.460567135768686</v>
      </c>
      <c r="S31" s="17" t="n">
        <f aca="false">SQRT(Q31*Q31+R31*R31)</f>
        <v>0.531093990827595</v>
      </c>
    </row>
    <row r="32" customFormat="false" ht="12.8" hidden="false" customHeight="false" outlineLevel="0" collapsed="false">
      <c r="A32" s="4" t="s">
        <v>18</v>
      </c>
      <c r="B32" s="4" t="n">
        <v>2.8</v>
      </c>
      <c r="C32" s="4" t="n">
        <v>50</v>
      </c>
      <c r="D32" s="1" t="n">
        <v>6.89612435915043</v>
      </c>
      <c r="E32" s="4" t="n">
        <v>0</v>
      </c>
      <c r="F32" s="1" t="n">
        <v>0.85</v>
      </c>
      <c r="G32" s="4" t="n">
        <v>1E+021</v>
      </c>
      <c r="H32" s="4" t="n">
        <v>0.3</v>
      </c>
      <c r="I32" s="5" t="n">
        <v>1000000000</v>
      </c>
      <c r="J32" s="6" t="n">
        <v>1720.55514820178</v>
      </c>
      <c r="K32" s="7" t="n">
        <v>0.364188023977512</v>
      </c>
      <c r="L32" s="8" t="n">
        <v>0.139659769801689</v>
      </c>
      <c r="M32" s="7" t="n">
        <v>0.18119845365638</v>
      </c>
      <c r="N32" s="7" t="n">
        <v>-0.00206534719856724</v>
      </c>
      <c r="O32" s="1" t="n">
        <v>211.545563994957</v>
      </c>
      <c r="P32" s="1" t="n">
        <v>200.435945499285</v>
      </c>
      <c r="Q32" s="16" t="n">
        <f aca="false">ABS(K32-0.36395)/0.0012</f>
        <v>0.198353314593327</v>
      </c>
      <c r="R32" s="16" t="n">
        <f aca="false">ABS(M32-0.17355)/0.016</f>
        <v>0.478028353523749</v>
      </c>
      <c r="S32" s="17" t="n">
        <f aca="false">SQRT(Q32*Q32+R32*R32)</f>
        <v>0.51754723860029</v>
      </c>
    </row>
    <row r="33" customFormat="false" ht="12.8" hidden="false" customHeight="false" outlineLevel="0" collapsed="false">
      <c r="A33" s="4" t="s">
        <v>18</v>
      </c>
      <c r="B33" s="4" t="n">
        <v>2.8</v>
      </c>
      <c r="C33" s="4" t="n">
        <v>55</v>
      </c>
      <c r="D33" s="1" t="n">
        <v>6.89814546609329</v>
      </c>
      <c r="E33" s="4" t="n">
        <v>0</v>
      </c>
      <c r="F33" s="1" t="n">
        <v>0.85</v>
      </c>
      <c r="G33" s="4" t="n">
        <v>1E+021</v>
      </c>
      <c r="H33" s="4" t="n">
        <v>0.3</v>
      </c>
      <c r="I33" s="5" t="n">
        <v>1000000000</v>
      </c>
      <c r="J33" s="6" t="n">
        <v>1724.70793220178</v>
      </c>
      <c r="K33" s="7" t="n">
        <v>0.363917314095022</v>
      </c>
      <c r="L33" s="8" t="n">
        <v>0.140093255175483</v>
      </c>
      <c r="M33" s="7" t="n">
        <v>0.181900284089152</v>
      </c>
      <c r="N33" s="7" t="n">
        <v>-0.00207350450782423</v>
      </c>
      <c r="O33" s="1" t="n">
        <v>212.561494954133</v>
      </c>
      <c r="P33" s="1" t="n">
        <v>200.359397501998</v>
      </c>
      <c r="Q33" s="16" t="n">
        <f aca="false">ABS(K33-0.36395)/0.0012</f>
        <v>0.0272382541483448</v>
      </c>
      <c r="R33" s="16" t="n">
        <f aca="false">ABS(M33-0.17355)/0.016</f>
        <v>0.521892755571999</v>
      </c>
      <c r="S33" s="17" t="n">
        <f aca="false">SQRT(Q33*Q33+R33*R33)</f>
        <v>0.52260307194618</v>
      </c>
    </row>
    <row r="34" customFormat="false" ht="12.8" hidden="false" customHeight="false" outlineLevel="0" collapsed="false">
      <c r="A34" s="4" t="s">
        <v>18</v>
      </c>
      <c r="B34" s="4" t="n">
        <v>2.8</v>
      </c>
      <c r="C34" s="4" t="n">
        <v>45</v>
      </c>
      <c r="D34" s="1" t="n">
        <v>6.89387624414091</v>
      </c>
      <c r="E34" s="4" t="n">
        <v>0</v>
      </c>
      <c r="F34" s="1" t="n">
        <v>0.85</v>
      </c>
      <c r="G34" s="4" t="n">
        <v>1E+021</v>
      </c>
      <c r="H34" s="4" t="n">
        <v>0.3</v>
      </c>
      <c r="I34" s="5" t="n">
        <v>1000000000</v>
      </c>
      <c r="J34" s="6" t="n">
        <v>1716.40236420178</v>
      </c>
      <c r="K34" s="7" t="n">
        <v>0.364460240977071</v>
      </c>
      <c r="L34" s="8" t="n">
        <v>0.13922975327733</v>
      </c>
      <c r="M34" s="7" t="n">
        <v>0.180502064997172</v>
      </c>
      <c r="N34" s="7" t="n">
        <v>-0.00205728981172024</v>
      </c>
      <c r="O34" s="1" t="n">
        <v>211.566888122684</v>
      </c>
      <c r="P34" s="1" t="n">
        <v>200.511627213746</v>
      </c>
      <c r="Q34" s="16" t="n">
        <f aca="false">ABS(K34-0.36395)/0.0012</f>
        <v>0.425200814225859</v>
      </c>
      <c r="R34" s="16" t="n">
        <f aca="false">ABS(M34-0.17355)/0.016</f>
        <v>0.434504062323249</v>
      </c>
      <c r="S34" s="17" t="n">
        <f aca="false">SQRT(Q34*Q34+R34*R34)</f>
        <v>0.607938740823234</v>
      </c>
    </row>
    <row r="35" customFormat="false" ht="12.8" hidden="false" customHeight="false" outlineLevel="0" collapsed="false">
      <c r="A35" s="4" t="s">
        <v>18</v>
      </c>
      <c r="B35" s="4" t="n">
        <v>2.9</v>
      </c>
      <c r="C35" s="4" t="n">
        <v>60</v>
      </c>
      <c r="D35" s="1" t="n">
        <v>6.89347894803931</v>
      </c>
      <c r="E35" s="4" t="n">
        <v>0</v>
      </c>
      <c r="F35" s="1" t="n">
        <v>0.85</v>
      </c>
      <c r="G35" s="4" t="n">
        <v>1E+021</v>
      </c>
      <c r="H35" s="4" t="n">
        <v>0.3</v>
      </c>
      <c r="I35" s="5" t="n">
        <v>1000000000</v>
      </c>
      <c r="J35" s="6" t="n">
        <v>1718.69095620178</v>
      </c>
      <c r="K35" s="7" t="n">
        <v>0.36433156141169</v>
      </c>
      <c r="L35" s="8" t="n">
        <v>0.139489554059887</v>
      </c>
      <c r="M35" s="7" t="n">
        <v>0.180913961663554</v>
      </c>
      <c r="N35" s="7" t="n">
        <v>-0.00205662503688923</v>
      </c>
      <c r="O35" s="1" t="n">
        <v>211.607171185476</v>
      </c>
      <c r="P35" s="1" t="n">
        <v>200.474242239662</v>
      </c>
      <c r="Q35" s="16" t="n">
        <f aca="false">ABS(K35-0.36395)/0.0012</f>
        <v>0.317967843074992</v>
      </c>
      <c r="R35" s="16" t="n">
        <f aca="false">ABS(M35-0.17355)/0.016</f>
        <v>0.460247603972125</v>
      </c>
      <c r="S35" s="17" t="n">
        <f aca="false">SQRT(Q35*Q35+R35*R35)</f>
        <v>0.559402722724733</v>
      </c>
    </row>
    <row r="36" customFormat="false" ht="12.8" hidden="false" customHeight="false" outlineLevel="0" collapsed="false">
      <c r="A36" s="4" t="s">
        <v>18</v>
      </c>
      <c r="B36" s="4" t="n">
        <v>2.9</v>
      </c>
      <c r="C36" s="4" t="n">
        <v>65</v>
      </c>
      <c r="D36" s="1" t="n">
        <v>6.89913512031785</v>
      </c>
      <c r="E36" s="4" t="n">
        <v>0</v>
      </c>
      <c r="F36" s="1" t="n">
        <v>0.85</v>
      </c>
      <c r="G36" s="4" t="n">
        <v>1E+021</v>
      </c>
      <c r="H36" s="4" t="n">
        <v>0.3</v>
      </c>
      <c r="I36" s="5" t="n">
        <v>1000000000</v>
      </c>
      <c r="J36" s="6" t="n">
        <v>1721.82676420178</v>
      </c>
      <c r="K36" s="7" t="n">
        <v>0.36411128484765</v>
      </c>
      <c r="L36" s="8" t="n">
        <v>0.139808136223199</v>
      </c>
      <c r="M36" s="7" t="n">
        <v>0.181432647075953</v>
      </c>
      <c r="N36" s="7" t="n">
        <v>-0.00206206106462603</v>
      </c>
      <c r="O36" s="1" t="n">
        <v>211.589993864266</v>
      </c>
      <c r="P36" s="1" t="n">
        <v>200.415376863505</v>
      </c>
      <c r="Q36" s="16" t="n">
        <f aca="false">ABS(K36-0.36395)/0.0012</f>
        <v>0.134404039708325</v>
      </c>
      <c r="R36" s="16" t="n">
        <f aca="false">ABS(M36-0.17355)/0.016</f>
        <v>0.492665442247062</v>
      </c>
      <c r="S36" s="17" t="n">
        <f aca="false">SQRT(Q36*Q36+R36*R36)</f>
        <v>0.510669838422449</v>
      </c>
    </row>
    <row r="37" customFormat="false" ht="12.8" hidden="false" customHeight="false" outlineLevel="0" collapsed="false">
      <c r="A37" s="4" t="s">
        <v>18</v>
      </c>
      <c r="B37" s="4" t="n">
        <v>2.9</v>
      </c>
      <c r="C37" s="4" t="n">
        <v>55</v>
      </c>
      <c r="D37" s="1" t="n">
        <v>6.8943713224014</v>
      </c>
      <c r="E37" s="4" t="n">
        <v>0</v>
      </c>
      <c r="F37" s="1" t="n">
        <v>0.85</v>
      </c>
      <c r="G37" s="4" t="n">
        <v>1E+021</v>
      </c>
      <c r="H37" s="4" t="n">
        <v>0.3</v>
      </c>
      <c r="I37" s="5" t="n">
        <v>1000000000</v>
      </c>
      <c r="J37" s="6" t="n">
        <v>1715.21615620178</v>
      </c>
      <c r="K37" s="7" t="n">
        <v>0.364544966472251</v>
      </c>
      <c r="L37" s="8" t="n">
        <v>0.139121820866687</v>
      </c>
      <c r="M37" s="7" t="n">
        <v>0.180321685659983</v>
      </c>
      <c r="N37" s="7" t="n">
        <v>-0.00205007827074194</v>
      </c>
      <c r="O37" s="1" t="n">
        <v>211.62013378485</v>
      </c>
      <c r="P37" s="1" t="n">
        <v>200.535591525802</v>
      </c>
      <c r="Q37" s="16" t="n">
        <f aca="false">ABS(K37-0.36395)/0.0012</f>
        <v>0.495805393542492</v>
      </c>
      <c r="R37" s="16" t="n">
        <f aca="false">ABS(M37-0.17355)/0.016</f>
        <v>0.423230353748937</v>
      </c>
      <c r="S37" s="17" t="n">
        <f aca="false">SQRT(Q37*Q37+R37*R37)</f>
        <v>0.651879529207871</v>
      </c>
    </row>
    <row r="38" customFormat="false" ht="12.8" hidden="false" customHeight="false" outlineLevel="0" collapsed="false">
      <c r="A38" s="4" t="s">
        <v>18</v>
      </c>
      <c r="B38" s="4" t="n">
        <v>2.7</v>
      </c>
      <c r="C38" s="4" t="n">
        <v>45</v>
      </c>
      <c r="D38" s="1" t="n">
        <v>7.0441593894955</v>
      </c>
      <c r="E38" s="4" t="n">
        <v>0</v>
      </c>
      <c r="F38" s="1" t="n">
        <v>0.75</v>
      </c>
      <c r="G38" s="4" t="n">
        <v>1E+021</v>
      </c>
      <c r="H38" s="4" t="n">
        <v>0.3</v>
      </c>
      <c r="I38" s="5" t="n">
        <v>1000000000</v>
      </c>
      <c r="J38" s="6" t="n">
        <v>1688.60502020178</v>
      </c>
      <c r="K38" s="7" t="n">
        <v>0.363647557416131</v>
      </c>
      <c r="L38" s="8" t="n">
        <v>0.13481692814303</v>
      </c>
      <c r="M38" s="7" t="n">
        <v>0.173965831466632</v>
      </c>
      <c r="N38" s="7" t="n">
        <v>-0.00195961508051951</v>
      </c>
      <c r="O38" s="1" t="n">
        <v>211.362654916897</v>
      </c>
      <c r="P38" s="1" t="n">
        <v>200.448439019329</v>
      </c>
      <c r="Q38" s="16" t="n">
        <f aca="false">ABS(K38-0.36395)/0.0012</f>
        <v>0.252035486557519</v>
      </c>
      <c r="R38" s="16" t="n">
        <f aca="false">ABS(M38-0.17355)/0.016</f>
        <v>0.0259894666644993</v>
      </c>
      <c r="S38" s="17" t="n">
        <f aca="false">SQRT(Q38*Q38+R38*R38)</f>
        <v>0.2533719377946</v>
      </c>
    </row>
    <row r="39" customFormat="false" ht="12.8" hidden="false" customHeight="false" outlineLevel="0" collapsed="false">
      <c r="A39" s="4" t="s">
        <v>18</v>
      </c>
      <c r="B39" s="4" t="n">
        <v>2.7</v>
      </c>
      <c r="C39" s="4" t="n">
        <v>40</v>
      </c>
      <c r="D39" s="1" t="n">
        <v>7.04103665194149</v>
      </c>
      <c r="E39" s="4" t="n">
        <v>0</v>
      </c>
      <c r="F39" s="1" t="n">
        <v>0.75</v>
      </c>
      <c r="G39" s="4" t="n">
        <v>1E+021</v>
      </c>
      <c r="H39" s="4" t="n">
        <v>0.3</v>
      </c>
      <c r="I39" s="5" t="n">
        <v>1000000000</v>
      </c>
      <c r="J39" s="6" t="n">
        <v>1683.77425220178</v>
      </c>
      <c r="K39" s="7" t="n">
        <v>0.363980501511596</v>
      </c>
      <c r="L39" s="8" t="n">
        <v>0.134360801598181</v>
      </c>
      <c r="M39" s="7" t="n">
        <v>0.173221968756437</v>
      </c>
      <c r="N39" s="7" t="n">
        <v>-0.00195124595959031</v>
      </c>
      <c r="O39" s="1" t="n">
        <v>211.680460638539</v>
      </c>
      <c r="P39" s="1" t="n">
        <v>200.535213318201</v>
      </c>
      <c r="Q39" s="16" t="n">
        <f aca="false">ABS(K39-0.36395)/0.0012</f>
        <v>0.0254179263300032</v>
      </c>
      <c r="R39" s="16" t="n">
        <f aca="false">ABS(M39-0.17355)/0.016</f>
        <v>0.0205019527226881</v>
      </c>
      <c r="S39" s="17" t="n">
        <f aca="false">SQRT(Q39*Q39+R39*R39)</f>
        <v>0.0326557964894567</v>
      </c>
    </row>
    <row r="40" customFormat="false" ht="12.8" hidden="false" customHeight="false" outlineLevel="0" collapsed="false">
      <c r="A40" s="4" t="s">
        <v>18</v>
      </c>
      <c r="B40" s="4" t="n">
        <v>2.7</v>
      </c>
      <c r="C40" s="4" t="n">
        <v>35</v>
      </c>
      <c r="D40" s="1" t="n">
        <v>7.03749160391441</v>
      </c>
      <c r="E40" s="4" t="n">
        <v>0</v>
      </c>
      <c r="F40" s="1" t="n">
        <v>0.75</v>
      </c>
      <c r="G40" s="4" t="n">
        <v>1E+021</v>
      </c>
      <c r="H40" s="4" t="n">
        <v>0.3</v>
      </c>
      <c r="I40" s="5" t="n">
        <v>1000000000</v>
      </c>
      <c r="J40" s="6" t="n">
        <v>1678.94348420178</v>
      </c>
      <c r="K40" s="7" t="n">
        <v>0.364315484737528</v>
      </c>
      <c r="L40" s="8" t="n">
        <v>0.133909243050921</v>
      </c>
      <c r="M40" s="7" t="n">
        <v>0.17248506490639</v>
      </c>
      <c r="N40" s="7" t="n">
        <v>-0.00194300551566295</v>
      </c>
      <c r="O40" s="1" t="n">
        <v>212.026780881904</v>
      </c>
      <c r="P40" s="1" t="n">
        <v>200.620888705733</v>
      </c>
      <c r="Q40" s="16" t="n">
        <f aca="false">ABS(K40-0.36395)/0.0012</f>
        <v>0.304570614606675</v>
      </c>
      <c r="R40" s="16" t="n">
        <f aca="false">ABS(M40-0.17355)/0.016</f>
        <v>0.0665584433506249</v>
      </c>
      <c r="S40" s="17" t="n">
        <f aca="false">SQRT(Q40*Q40+R40*R40)</f>
        <v>0.311758377053683</v>
      </c>
    </row>
    <row r="41" customFormat="false" ht="12.8" hidden="false" customHeight="false" outlineLevel="0" collapsed="false">
      <c r="A41" s="4" t="s">
        <v>18</v>
      </c>
      <c r="B41" s="4" t="n">
        <v>2.8</v>
      </c>
      <c r="C41" s="4" t="n">
        <v>50</v>
      </c>
      <c r="D41" s="1" t="n">
        <v>7.03854703659815</v>
      </c>
      <c r="E41" s="4" t="n">
        <v>0</v>
      </c>
      <c r="F41" s="1" t="n">
        <v>0.75</v>
      </c>
      <c r="G41" s="4" t="n">
        <v>1E+021</v>
      </c>
      <c r="H41" s="4" t="n">
        <v>0.3</v>
      </c>
      <c r="I41" s="5" t="n">
        <v>1000000000</v>
      </c>
      <c r="J41" s="6" t="n">
        <v>1685.29998020178</v>
      </c>
      <c r="K41" s="7" t="n">
        <v>0.363900682503236</v>
      </c>
      <c r="L41" s="8" t="n">
        <v>0.134524621873363</v>
      </c>
      <c r="M41" s="7" t="n">
        <v>0.173481553587965</v>
      </c>
      <c r="N41" s="7" t="n">
        <v>-0.00195030444782851</v>
      </c>
      <c r="O41" s="1" t="n">
        <v>211.52388949211</v>
      </c>
      <c r="P41" s="1" t="n">
        <v>200.511652520048</v>
      </c>
      <c r="Q41" s="16" t="n">
        <f aca="false">ABS(K41-0.36395)/0.0012</f>
        <v>0.04109791397001</v>
      </c>
      <c r="R41" s="16" t="n">
        <f aca="false">ABS(M41-0.17355)/0.016</f>
        <v>0.00427790075218856</v>
      </c>
      <c r="S41" s="17" t="n">
        <f aca="false">SQRT(Q41*Q41+R41*R41)</f>
        <v>0.0413199584647894</v>
      </c>
    </row>
    <row r="42" customFormat="false" ht="12.8" hidden="false" customHeight="false" outlineLevel="0" collapsed="false">
      <c r="A42" s="4" t="s">
        <v>18</v>
      </c>
      <c r="B42" s="4" t="n">
        <v>2.8</v>
      </c>
      <c r="C42" s="4" t="n">
        <v>55</v>
      </c>
      <c r="D42" s="1" t="n">
        <v>7.04520005569362</v>
      </c>
      <c r="E42" s="4" t="n">
        <v>0</v>
      </c>
      <c r="F42" s="1" t="n">
        <v>0.75</v>
      </c>
      <c r="G42" s="4" t="n">
        <v>1E+021</v>
      </c>
      <c r="H42" s="4" t="n">
        <v>0.3</v>
      </c>
      <c r="I42" s="5" t="n">
        <v>1000000000</v>
      </c>
      <c r="J42" s="6" t="n">
        <v>1689.11377220178</v>
      </c>
      <c r="K42" s="7" t="n">
        <v>0.363621802245388</v>
      </c>
      <c r="L42" s="8" t="n">
        <v>0.134877223134831</v>
      </c>
      <c r="M42" s="7" t="n">
        <v>0.174059732602627</v>
      </c>
      <c r="N42" s="7" t="n">
        <v>-0.00195636686554851</v>
      </c>
      <c r="O42" s="1" t="n">
        <v>211.321789221149</v>
      </c>
      <c r="P42" s="1" t="n">
        <v>200.441351534103</v>
      </c>
      <c r="Q42" s="16" t="n">
        <f aca="false">ABS(K42-0.36395)/0.0012</f>
        <v>0.273498128843345</v>
      </c>
      <c r="R42" s="16" t="n">
        <f aca="false">ABS(M42-0.17355)/0.016</f>
        <v>0.0318582876641868</v>
      </c>
      <c r="S42" s="17" t="n">
        <f aca="false">SQRT(Q42*Q42+R42*R42)</f>
        <v>0.275347375098629</v>
      </c>
    </row>
    <row r="43" customFormat="false" ht="12.8" hidden="false" customHeight="false" outlineLevel="0" collapsed="false">
      <c r="A43" s="4" t="s">
        <v>18</v>
      </c>
      <c r="B43" s="4" t="n">
        <v>2.8</v>
      </c>
      <c r="C43" s="4" t="n">
        <v>45</v>
      </c>
      <c r="D43" s="1" t="n">
        <v>7.03836266157682</v>
      </c>
      <c r="E43" s="4" t="n">
        <v>0</v>
      </c>
      <c r="F43" s="1" t="n">
        <v>0.75</v>
      </c>
      <c r="G43" s="4" t="n">
        <v>1E+021</v>
      </c>
      <c r="H43" s="4" t="n">
        <v>0.3</v>
      </c>
      <c r="I43" s="5" t="n">
        <v>1000000000</v>
      </c>
      <c r="J43" s="6" t="n">
        <v>1681.14719620178</v>
      </c>
      <c r="K43" s="7" t="n">
        <v>0.364174263327648</v>
      </c>
      <c r="L43" s="8" t="n">
        <v>0.134127049943174</v>
      </c>
      <c r="M43" s="7" t="n">
        <v>0.172836050012892</v>
      </c>
      <c r="N43" s="7" t="n">
        <v>-0.00194326948494836</v>
      </c>
      <c r="O43" s="1" t="n">
        <v>210.963231373852</v>
      </c>
      <c r="P43" s="1" t="n">
        <v>200.584166739539</v>
      </c>
      <c r="Q43" s="16" t="n">
        <f aca="false">ABS(K43-0.36395)/0.0012</f>
        <v>0.186886106373352</v>
      </c>
      <c r="R43" s="16" t="n">
        <f aca="false">ABS(M43-0.17355)/0.016</f>
        <v>0.0446218741942499</v>
      </c>
      <c r="S43" s="17" t="n">
        <f aca="false">SQRT(Q43*Q43+R43*R43)</f>
        <v>0.192139346340096</v>
      </c>
    </row>
    <row r="44" customFormat="false" ht="12.8" hidden="false" customHeight="false" outlineLevel="0" collapsed="false">
      <c r="A44" s="4" t="s">
        <v>18</v>
      </c>
      <c r="B44" s="4" t="n">
        <v>2.8</v>
      </c>
      <c r="C44" s="4" t="n">
        <v>40</v>
      </c>
      <c r="D44" s="1" t="n">
        <v>7.03796085733747</v>
      </c>
      <c r="E44" s="4" t="n">
        <v>0</v>
      </c>
      <c r="F44" s="1" t="n">
        <v>0.75</v>
      </c>
      <c r="G44" s="4" t="n">
        <v>1E+021</v>
      </c>
      <c r="H44" s="4" t="n">
        <v>0.3</v>
      </c>
      <c r="I44" s="5" t="n">
        <v>1000000000</v>
      </c>
      <c r="J44" s="6" t="n">
        <v>1676.99441220178</v>
      </c>
      <c r="K44" s="7" t="n">
        <v>0.364449081307214</v>
      </c>
      <c r="L44" s="8" t="n">
        <v>0.133732659270831</v>
      </c>
      <c r="M44" s="7" t="n">
        <v>0.172195452306352</v>
      </c>
      <c r="N44" s="7" t="n">
        <v>-0.00193631794301219</v>
      </c>
      <c r="O44" s="1" t="n">
        <v>211.224789570283</v>
      </c>
      <c r="P44" s="1" t="n">
        <v>200.655845260582</v>
      </c>
      <c r="Q44" s="16" t="n">
        <f aca="false">ABS(K44-0.36395)/0.0012</f>
        <v>0.415901089344991</v>
      </c>
      <c r="R44" s="16" t="n">
        <f aca="false">ABS(M44-0.17355)/0.016</f>
        <v>0.0846592308530007</v>
      </c>
      <c r="S44" s="17" t="n">
        <f aca="false">SQRT(Q44*Q44+R44*R44)</f>
        <v>0.424430090223315</v>
      </c>
    </row>
    <row r="45" customFormat="false" ht="12.8" hidden="false" customHeight="false" outlineLevel="0" collapsed="false">
      <c r="A45" s="4" t="s">
        <v>18</v>
      </c>
      <c r="B45" s="4" t="n">
        <v>2.9</v>
      </c>
      <c r="C45" s="4" t="n">
        <v>60</v>
      </c>
      <c r="D45" s="1" t="n">
        <v>7.03678953140506</v>
      </c>
      <c r="E45" s="4" t="n">
        <v>0</v>
      </c>
      <c r="F45" s="1" t="n">
        <v>0.75</v>
      </c>
      <c r="G45" s="4" t="n">
        <v>1E+021</v>
      </c>
      <c r="H45" s="4" t="n">
        <v>0.3</v>
      </c>
      <c r="I45" s="5" t="n">
        <v>1000000000</v>
      </c>
      <c r="J45" s="6" t="n">
        <v>1683.43578820178</v>
      </c>
      <c r="K45" s="7" t="n">
        <v>0.364044857165541</v>
      </c>
      <c r="L45" s="8" t="n">
        <v>0.134367360487984</v>
      </c>
      <c r="M45" s="7" t="n">
        <v>0.173218205978102</v>
      </c>
      <c r="N45" s="7" t="n">
        <v>-0.00194210799287675</v>
      </c>
      <c r="O45" s="1" t="n">
        <v>211.498804571781</v>
      </c>
      <c r="P45" s="1" t="n">
        <v>200.548204213201</v>
      </c>
      <c r="Q45" s="16" t="n">
        <f aca="false">ABS(K45-0.36395)/0.0012</f>
        <v>0.0790476379508576</v>
      </c>
      <c r="R45" s="16" t="n">
        <f aca="false">ABS(M45-0.17355)/0.016</f>
        <v>0.0207371263686255</v>
      </c>
      <c r="S45" s="17" t="n">
        <f aca="false">SQRT(Q45*Q45+R45*R45)</f>
        <v>0.0817224416891603</v>
      </c>
    </row>
    <row r="46" customFormat="false" ht="12.8" hidden="false" customHeight="false" outlineLevel="0" collapsed="false">
      <c r="A46" s="4" t="s">
        <v>18</v>
      </c>
      <c r="B46" s="4" t="n">
        <v>2.9</v>
      </c>
      <c r="C46" s="4" t="n">
        <v>65</v>
      </c>
      <c r="D46" s="1" t="n">
        <v>7.0409347169026</v>
      </c>
      <c r="E46" s="4" t="n">
        <v>0</v>
      </c>
      <c r="F46" s="1" t="n">
        <v>0.75</v>
      </c>
      <c r="G46" s="4" t="n">
        <v>1E+021</v>
      </c>
      <c r="H46" s="4" t="n">
        <v>0.3</v>
      </c>
      <c r="I46" s="5" t="n">
        <v>1000000000</v>
      </c>
      <c r="J46" s="6" t="n">
        <v>1686.57159620178</v>
      </c>
      <c r="K46" s="7" t="n">
        <v>0.363823533117031</v>
      </c>
      <c r="L46" s="8" t="n">
        <v>0.13466146266788</v>
      </c>
      <c r="M46" s="7" t="n">
        <v>0.173698477732162</v>
      </c>
      <c r="N46" s="7" t="n">
        <v>-0.00194682781252195</v>
      </c>
      <c r="O46" s="1" t="n">
        <v>211.369061894569</v>
      </c>
      <c r="P46" s="1" t="n">
        <v>200.491773370704</v>
      </c>
      <c r="Q46" s="16" t="n">
        <f aca="false">ABS(K46-0.36395)/0.0012</f>
        <v>0.105389069140852</v>
      </c>
      <c r="R46" s="16" t="n">
        <f aca="false">ABS(M46-0.17355)/0.016</f>
        <v>0.00927985826012362</v>
      </c>
      <c r="S46" s="17" t="n">
        <f aca="false">SQRT(Q46*Q46+R46*R46)</f>
        <v>0.105796841463738</v>
      </c>
    </row>
    <row r="47" customFormat="false" ht="12.8" hidden="false" customHeight="false" outlineLevel="0" collapsed="false">
      <c r="A47" s="4" t="s">
        <v>18</v>
      </c>
      <c r="B47" s="4" t="n">
        <v>2.9</v>
      </c>
      <c r="C47" s="4" t="n">
        <v>70</v>
      </c>
      <c r="D47" s="1" t="n">
        <v>7.04529315580235</v>
      </c>
      <c r="E47" s="4" t="n">
        <v>0</v>
      </c>
      <c r="F47" s="1" t="n">
        <v>0.75</v>
      </c>
      <c r="G47" s="4" t="n">
        <v>1E+021</v>
      </c>
      <c r="H47" s="4" t="n">
        <v>0.3</v>
      </c>
      <c r="I47" s="5" t="n">
        <v>1000000000</v>
      </c>
      <c r="J47" s="6" t="n">
        <v>1689.70740420178</v>
      </c>
      <c r="K47" s="7" t="n">
        <v>0.363601698238293</v>
      </c>
      <c r="L47" s="8" t="n">
        <v>0.134956913917192</v>
      </c>
      <c r="M47" s="7" t="n">
        <v>0.174181074319553</v>
      </c>
      <c r="N47" s="7" t="n">
        <v>-0.00195157153701842</v>
      </c>
      <c r="O47" s="1" t="n">
        <v>211.240527853292</v>
      </c>
      <c r="P47" s="1" t="n">
        <v>200.434752067031</v>
      </c>
      <c r="Q47" s="16" t="n">
        <f aca="false">ABS(K47-0.36395)/0.0012</f>
        <v>0.290251468089142</v>
      </c>
      <c r="R47" s="16" t="n">
        <f aca="false">ABS(M47-0.17355)/0.016</f>
        <v>0.039442144972061</v>
      </c>
      <c r="S47" s="17" t="n">
        <f aca="false">SQRT(Q47*Q47+R47*R47)</f>
        <v>0.292919097240005</v>
      </c>
    </row>
    <row r="48" customFormat="false" ht="12.8" hidden="false" customHeight="false" outlineLevel="0" collapsed="false">
      <c r="A48" s="4" t="s">
        <v>18</v>
      </c>
      <c r="B48" s="4" t="n">
        <v>2.9</v>
      </c>
      <c r="C48" s="4" t="n">
        <v>55</v>
      </c>
      <c r="D48" s="1" t="n">
        <v>7.03944922657374</v>
      </c>
      <c r="E48" s="4" t="n">
        <v>0</v>
      </c>
      <c r="F48" s="1" t="n">
        <v>0.75</v>
      </c>
      <c r="G48" s="4" t="n">
        <v>1E+021</v>
      </c>
      <c r="H48" s="4" t="n">
        <v>0.3</v>
      </c>
      <c r="I48" s="5" t="n">
        <v>1000000000</v>
      </c>
      <c r="J48" s="6" t="n">
        <v>1679.96098820178</v>
      </c>
      <c r="K48" s="7" t="n">
        <v>0.364259383470621</v>
      </c>
      <c r="L48" s="8" t="n">
        <v>0.13402704243854</v>
      </c>
      <c r="M48" s="7" t="n">
        <v>0.172668912880344</v>
      </c>
      <c r="N48" s="7" t="n">
        <v>-0.00193638769115356</v>
      </c>
      <c r="O48" s="1" t="n">
        <v>211.625268828874</v>
      </c>
      <c r="P48" s="1" t="n">
        <v>200.606990423361</v>
      </c>
      <c r="Q48" s="16" t="n">
        <f aca="false">ABS(K48-0.36395)/0.0012</f>
        <v>0.257819558850819</v>
      </c>
      <c r="R48" s="16" t="n">
        <f aca="false">ABS(M48-0.17355)/0.016</f>
        <v>0.0550679449785006</v>
      </c>
      <c r="S48" s="17" t="n">
        <f aca="false">SQRT(Q48*Q48+R48*R48)</f>
        <v>0.263634981537326</v>
      </c>
    </row>
    <row r="49" customFormat="false" ht="12.8" hidden="false" customHeight="false" outlineLevel="0" collapsed="false">
      <c r="A49" s="4" t="s">
        <v>18</v>
      </c>
      <c r="B49" s="4" t="n">
        <v>2.9</v>
      </c>
      <c r="C49" s="4" t="n">
        <v>50</v>
      </c>
      <c r="D49" s="1" t="n">
        <v>7.03540900215144</v>
      </c>
      <c r="E49" s="4" t="n">
        <v>0</v>
      </c>
      <c r="F49" s="1" t="n">
        <v>0.75</v>
      </c>
      <c r="G49" s="4" t="n">
        <v>1E+021</v>
      </c>
      <c r="H49" s="4" t="n">
        <v>0.3</v>
      </c>
      <c r="I49" s="5" t="n">
        <v>1000000000</v>
      </c>
      <c r="J49" s="6" t="n">
        <v>1676.82518020178</v>
      </c>
      <c r="K49" s="7" t="n">
        <v>0.364481149636743</v>
      </c>
      <c r="L49" s="8" t="n">
        <v>0.133736290353733</v>
      </c>
      <c r="M49" s="7" t="n">
        <v>0.172194021042794</v>
      </c>
      <c r="N49" s="7" t="n">
        <v>-0.00193174990397643</v>
      </c>
      <c r="O49" s="1" t="n">
        <v>211.933819672476</v>
      </c>
      <c r="P49" s="1" t="n">
        <v>200.662315040681</v>
      </c>
      <c r="Q49" s="16" t="n">
        <f aca="false">ABS(K49-0.36395)/0.0012</f>
        <v>0.442624697285834</v>
      </c>
      <c r="R49" s="16" t="n">
        <f aca="false">ABS(M49-0.17355)/0.016</f>
        <v>0.084748684825376</v>
      </c>
      <c r="S49" s="17" t="n">
        <f aca="false">SQRT(Q49*Q49+R49*R49)</f>
        <v>0.450665022191657</v>
      </c>
    </row>
    <row r="50" customFormat="false" ht="12.8" hidden="false" customHeight="false" outlineLevel="0" collapsed="false">
      <c r="A50" s="4" t="s">
        <v>18</v>
      </c>
      <c r="B50" s="4" t="n">
        <v>3</v>
      </c>
      <c r="C50" s="4" t="n">
        <v>70</v>
      </c>
      <c r="D50" s="1" t="n">
        <v>7.03690768569979</v>
      </c>
      <c r="E50" s="4" t="n">
        <v>0</v>
      </c>
      <c r="F50" s="1" t="n">
        <v>0.75</v>
      </c>
      <c r="G50" s="4" t="n">
        <v>1E+021</v>
      </c>
      <c r="H50" s="4" t="n">
        <v>0.3</v>
      </c>
      <c r="I50" s="5" t="n">
        <v>1000000000</v>
      </c>
      <c r="J50" s="6" t="n">
        <v>1678.18167620178</v>
      </c>
      <c r="K50" s="7" t="n">
        <v>0.364404241297921</v>
      </c>
      <c r="L50" s="8" t="n">
        <v>0.133888936490331</v>
      </c>
      <c r="M50" s="7" t="n">
        <v>0.172433173090719</v>
      </c>
      <c r="N50" s="7" t="n">
        <v>-0.0019266752960917</v>
      </c>
      <c r="O50" s="1" t="n">
        <v>210.684751928452</v>
      </c>
      <c r="P50" s="1" t="n">
        <v>200.643250023661</v>
      </c>
      <c r="Q50" s="16" t="n">
        <f aca="false">ABS(K50-0.36395)/0.0012</f>
        <v>0.378534414934156</v>
      </c>
      <c r="R50" s="16" t="n">
        <f aca="false">ABS(M50-0.17355)/0.016</f>
        <v>0.0698016818300624</v>
      </c>
      <c r="S50" s="17" t="n">
        <f aca="false">SQRT(Q50*Q50+R50*R50)</f>
        <v>0.384916326070809</v>
      </c>
    </row>
    <row r="51" customFormat="false" ht="12.8" hidden="false" customHeight="false" outlineLevel="0" collapsed="false">
      <c r="A51" s="4" t="s">
        <v>18</v>
      </c>
      <c r="B51" s="4" t="n">
        <v>3</v>
      </c>
      <c r="C51" s="4" t="n">
        <v>65</v>
      </c>
      <c r="D51" s="1" t="n">
        <v>7.03484528559758</v>
      </c>
      <c r="E51" s="4" t="n">
        <v>0</v>
      </c>
      <c r="F51" s="1" t="n">
        <v>0.75</v>
      </c>
      <c r="G51" s="4" t="n">
        <v>1E+021</v>
      </c>
      <c r="H51" s="4" t="n">
        <v>0.3</v>
      </c>
      <c r="I51" s="5" t="n">
        <v>1000000000</v>
      </c>
      <c r="J51" s="6" t="n">
        <v>1675.72385220178</v>
      </c>
      <c r="K51" s="7" t="n">
        <v>0.364570890090788</v>
      </c>
      <c r="L51" s="8" t="n">
        <v>0.133656282404935</v>
      </c>
      <c r="M51" s="7" t="n">
        <v>0.172055051190722</v>
      </c>
      <c r="N51" s="7" t="n">
        <v>-0.00192337876101048</v>
      </c>
      <c r="O51" s="1" t="n">
        <v>211.62096612914</v>
      </c>
      <c r="P51" s="1" t="n">
        <v>200.685438265883</v>
      </c>
      <c r="Q51" s="16" t="n">
        <f aca="false">ABS(K51-0.36395)/0.0012</f>
        <v>0.517408408990024</v>
      </c>
      <c r="R51" s="16" t="n">
        <f aca="false">ABS(M51-0.17355)/0.016</f>
        <v>0.0934343005798751</v>
      </c>
      <c r="S51" s="17" t="n">
        <f aca="false">SQRT(Q51*Q51+R51*R51)</f>
        <v>0.525776977642078</v>
      </c>
    </row>
    <row r="52" customFormat="false" ht="12.8" hidden="false" customHeight="false" outlineLevel="0" collapsed="false">
      <c r="A52" s="4" t="s">
        <v>18</v>
      </c>
      <c r="B52" s="4" t="n">
        <v>2.7</v>
      </c>
      <c r="C52" s="4" t="n">
        <v>45</v>
      </c>
      <c r="D52" s="1" t="n">
        <v>7.12051329287938</v>
      </c>
      <c r="E52" s="4" t="n">
        <v>0</v>
      </c>
      <c r="F52" s="1" t="n">
        <v>0.7</v>
      </c>
      <c r="G52" s="4" t="n">
        <v>1E+021</v>
      </c>
      <c r="H52" s="4" t="n">
        <v>0.3</v>
      </c>
      <c r="I52" s="5" t="n">
        <v>1000000000</v>
      </c>
      <c r="J52" s="6" t="n">
        <v>1670.63844420178</v>
      </c>
      <c r="K52" s="7" t="n">
        <v>0.363502300209976</v>
      </c>
      <c r="L52" s="8" t="n">
        <v>0.132308842036954</v>
      </c>
      <c r="M52" s="7" t="n">
        <v>0.170204192257908</v>
      </c>
      <c r="N52" s="7" t="n">
        <v>-0.00190500278456418</v>
      </c>
      <c r="O52" s="1" t="n">
        <v>210.796101021753</v>
      </c>
      <c r="P52" s="1" t="n">
        <v>200.483758787928</v>
      </c>
      <c r="Q52" s="16" t="n">
        <f aca="false">ABS(K52-0.36395)/0.0012</f>
        <v>0.373083158353345</v>
      </c>
      <c r="R52" s="16" t="n">
        <f aca="false">ABS(M52-0.17355)/0.016</f>
        <v>0.20911298388075</v>
      </c>
      <c r="S52" s="17" t="n">
        <f aca="false">SQRT(Q52*Q52+R52*R52)</f>
        <v>0.427690639451483</v>
      </c>
    </row>
    <row r="53" customFormat="false" ht="12.8" hidden="false" customHeight="false" outlineLevel="0" collapsed="false">
      <c r="A53" s="4" t="s">
        <v>18</v>
      </c>
      <c r="B53" s="4" t="n">
        <v>2.7</v>
      </c>
      <c r="C53" s="4" t="n">
        <v>40</v>
      </c>
      <c r="D53" s="1" t="n">
        <v>7.11863935097455</v>
      </c>
      <c r="E53" s="4" t="n">
        <v>0</v>
      </c>
      <c r="F53" s="1" t="n">
        <v>0.7</v>
      </c>
      <c r="G53" s="4" t="n">
        <v>1E+021</v>
      </c>
      <c r="H53" s="4" t="n">
        <v>0.3</v>
      </c>
      <c r="I53" s="5" t="n">
        <v>1000000000</v>
      </c>
      <c r="J53" s="6" t="n">
        <v>1665.80767620179</v>
      </c>
      <c r="K53" s="7" t="n">
        <v>0.363836082374595</v>
      </c>
      <c r="L53" s="8" t="n">
        <v>0.131871029845125</v>
      </c>
      <c r="M53" s="7" t="n">
        <v>0.169488650155661</v>
      </c>
      <c r="N53" s="7" t="n">
        <v>-0.00189719021257867</v>
      </c>
      <c r="O53" s="1" t="n">
        <v>210.976632859673</v>
      </c>
      <c r="P53" s="1" t="n">
        <v>200.568672450298</v>
      </c>
      <c r="Q53" s="16" t="n">
        <f aca="false">ABS(K53-0.36395)/0.0012</f>
        <v>0.0949313545041408</v>
      </c>
      <c r="R53" s="16" t="n">
        <f aca="false">ABS(M53-0.17355)/0.016</f>
        <v>0.253834365271188</v>
      </c>
      <c r="S53" s="17" t="n">
        <f aca="false">SQRT(Q53*Q53+R53*R53)</f>
        <v>0.27100525282846</v>
      </c>
    </row>
    <row r="54" customFormat="false" ht="12.8" hidden="false" customHeight="false" outlineLevel="0" collapsed="false">
      <c r="A54" s="4" t="s">
        <v>18</v>
      </c>
      <c r="B54" s="4" t="n">
        <v>2.7</v>
      </c>
      <c r="C54" s="4" t="n">
        <v>35</v>
      </c>
      <c r="D54" s="1" t="n">
        <v>7.11633005933273</v>
      </c>
      <c r="E54" s="4" t="n">
        <v>0</v>
      </c>
      <c r="F54" s="1" t="n">
        <v>0.7</v>
      </c>
      <c r="G54" s="4" t="n">
        <v>1E+021</v>
      </c>
      <c r="H54" s="4" t="n">
        <v>0.3</v>
      </c>
      <c r="I54" s="5" t="n">
        <v>1000000000</v>
      </c>
      <c r="J54" s="6" t="n">
        <v>1660.97690820179</v>
      </c>
      <c r="K54" s="7" t="n">
        <v>0.364171907700872</v>
      </c>
      <c r="L54" s="8" t="n">
        <v>0.131437683128488</v>
      </c>
      <c r="M54" s="7" t="n">
        <v>0.168779840140463</v>
      </c>
      <c r="N54" s="7" t="n">
        <v>-0.00188949896651092</v>
      </c>
      <c r="O54" s="1" t="n">
        <v>209.964469366602</v>
      </c>
      <c r="P54" s="1" t="n">
        <v>200.652509484061</v>
      </c>
      <c r="Q54" s="16" t="n">
        <f aca="false">ABS(K54-0.36395)/0.0012</f>
        <v>0.184923084059994</v>
      </c>
      <c r="R54" s="16" t="n">
        <f aca="false">ABS(M54-0.17355)/0.016</f>
        <v>0.298134991221064</v>
      </c>
      <c r="S54" s="17" t="n">
        <f aca="false">SQRT(Q54*Q54+R54*R54)</f>
        <v>0.350829046700303</v>
      </c>
    </row>
    <row r="55" customFormat="false" ht="12.8" hidden="false" customHeight="false" outlineLevel="0" collapsed="false">
      <c r="A55" s="4" t="s">
        <v>18</v>
      </c>
      <c r="B55" s="4" t="n">
        <v>2.7</v>
      </c>
      <c r="C55" s="4" t="n">
        <v>30</v>
      </c>
      <c r="D55" s="1" t="n">
        <v>7.11356700171822</v>
      </c>
      <c r="E55" s="4" t="n">
        <v>0</v>
      </c>
      <c r="F55" s="1" t="n">
        <v>0.7</v>
      </c>
      <c r="G55" s="4" t="n">
        <v>1E+021</v>
      </c>
      <c r="H55" s="4" t="n">
        <v>0.3</v>
      </c>
      <c r="I55" s="5" t="n">
        <v>1000000000</v>
      </c>
      <c r="J55" s="6" t="n">
        <v>1656.14614020179</v>
      </c>
      <c r="K55" s="7" t="n">
        <v>0.364509941519213</v>
      </c>
      <c r="L55" s="8" t="n">
        <v>0.131008780628603</v>
      </c>
      <c r="M55" s="7" t="n">
        <v>0.168077677239597</v>
      </c>
      <c r="N55" s="7" t="n">
        <v>-0.00188192796577535</v>
      </c>
      <c r="O55" s="1" t="n">
        <v>210.842189910704</v>
      </c>
      <c r="P55" s="1" t="n">
        <v>200.73527090694</v>
      </c>
      <c r="Q55" s="16" t="n">
        <f aca="false">ABS(K55-0.36395)/0.0012</f>
        <v>0.466617932677512</v>
      </c>
      <c r="R55" s="16" t="n">
        <f aca="false">ABS(M55-0.17355)/0.016</f>
        <v>0.342020172525189</v>
      </c>
      <c r="S55" s="17" t="n">
        <f aca="false">SQRT(Q55*Q55+R55*R55)</f>
        <v>0.578541349870858</v>
      </c>
    </row>
    <row r="56" customFormat="false" ht="12.8" hidden="false" customHeight="false" outlineLevel="0" collapsed="false">
      <c r="A56" s="4" t="s">
        <v>18</v>
      </c>
      <c r="B56" s="4" t="n">
        <v>2.8</v>
      </c>
      <c r="C56" s="4" t="n">
        <v>50</v>
      </c>
      <c r="D56" s="1" t="n">
        <v>7.11571995965774</v>
      </c>
      <c r="E56" s="4" t="n">
        <v>0</v>
      </c>
      <c r="F56" s="1" t="n">
        <v>0.7</v>
      </c>
      <c r="G56" s="4" t="n">
        <v>1E+021</v>
      </c>
      <c r="H56" s="4" t="n">
        <v>0.3</v>
      </c>
      <c r="I56" s="5" t="n">
        <v>1000000000</v>
      </c>
      <c r="J56" s="6" t="n">
        <v>1667.33340420178</v>
      </c>
      <c r="K56" s="7" t="n">
        <v>0.363756018075698</v>
      </c>
      <c r="L56" s="8" t="n">
        <v>0.132028486301267</v>
      </c>
      <c r="M56" s="7" t="n">
        <v>0.169738761469519</v>
      </c>
      <c r="N56" s="7" t="n">
        <v>-0.00189603201453428</v>
      </c>
      <c r="O56" s="1" t="n">
        <v>210.083940613575</v>
      </c>
      <c r="P56" s="1" t="n">
        <v>200.545573347437</v>
      </c>
      <c r="Q56" s="16" t="n">
        <f aca="false">ABS(K56-0.36395)/0.0012</f>
        <v>0.161651603584982</v>
      </c>
      <c r="R56" s="16" t="n">
        <f aca="false">ABS(M56-0.17355)/0.016</f>
        <v>0.238202408155063</v>
      </c>
      <c r="S56" s="17" t="n">
        <f aca="false">SQRT(Q56*Q56+R56*R56)</f>
        <v>0.287874327081224</v>
      </c>
    </row>
    <row r="57" customFormat="false" ht="12.8" hidden="false" customHeight="false" outlineLevel="0" collapsed="false">
      <c r="A57" s="4" t="s">
        <v>18</v>
      </c>
      <c r="B57" s="4" t="n">
        <v>2.8</v>
      </c>
      <c r="C57" s="4" t="n">
        <v>55</v>
      </c>
      <c r="D57" s="1" t="n">
        <v>7.12142061563753</v>
      </c>
      <c r="E57" s="4" t="n">
        <v>0</v>
      </c>
      <c r="F57" s="1" t="n">
        <v>0.7</v>
      </c>
      <c r="G57" s="4" t="n">
        <v>1E+021</v>
      </c>
      <c r="H57" s="4" t="n">
        <v>0.3</v>
      </c>
      <c r="I57" s="5" t="n">
        <v>1000000000</v>
      </c>
      <c r="J57" s="6" t="n">
        <v>1671.14719620178</v>
      </c>
      <c r="K57" s="7" t="n">
        <v>0.363476460876629</v>
      </c>
      <c r="L57" s="8" t="n">
        <v>0.132366664461942</v>
      </c>
      <c r="M57" s="7" t="n">
        <v>0.170294647588755</v>
      </c>
      <c r="N57" s="7" t="n">
        <v>-0.0019016768913252</v>
      </c>
      <c r="O57" s="1" t="n">
        <v>210.784025781289</v>
      </c>
      <c r="P57" s="1" t="n">
        <v>200.476768045827</v>
      </c>
      <c r="Q57" s="16" t="n">
        <f aca="false">ABS(K57-0.36395)/0.0012</f>
        <v>0.394615936142502</v>
      </c>
      <c r="R57" s="16" t="n">
        <f aca="false">ABS(M57-0.17355)/0.016</f>
        <v>0.203459525702812</v>
      </c>
      <c r="S57" s="17" t="n">
        <f aca="false">SQRT(Q57*Q57+R57*R57)</f>
        <v>0.443979183810274</v>
      </c>
    </row>
    <row r="58" customFormat="false" ht="12.8" hidden="false" customHeight="false" outlineLevel="0" collapsed="false">
      <c r="A58" s="4" t="s">
        <v>18</v>
      </c>
      <c r="B58" s="4" t="n">
        <v>2.8</v>
      </c>
      <c r="C58" s="4" t="n">
        <v>45</v>
      </c>
      <c r="D58" s="1" t="n">
        <v>7.11663491896365</v>
      </c>
      <c r="E58" s="4" t="n">
        <v>0</v>
      </c>
      <c r="F58" s="1" t="n">
        <v>0.7</v>
      </c>
      <c r="G58" s="4" t="n">
        <v>1E+021</v>
      </c>
      <c r="H58" s="4" t="n">
        <v>0.3</v>
      </c>
      <c r="I58" s="5" t="n">
        <v>1000000000</v>
      </c>
      <c r="J58" s="6" t="n">
        <v>1663.18062020179</v>
      </c>
      <c r="K58" s="7" t="n">
        <v>0.364030303603211</v>
      </c>
      <c r="L58" s="8" t="n">
        <v>0.131646733317903</v>
      </c>
      <c r="M58" s="7" t="n">
        <v>0.169117696682406</v>
      </c>
      <c r="N58" s="7" t="n">
        <v>-0.00188946164828416</v>
      </c>
      <c r="O58" s="1" t="n">
        <v>210.762653628063</v>
      </c>
      <c r="P58" s="1" t="n">
        <v>200.616536835687</v>
      </c>
      <c r="Q58" s="16" t="n">
        <f aca="false">ABS(K58-0.36395)/0.0012</f>
        <v>0.0669196693424875</v>
      </c>
      <c r="R58" s="16" t="n">
        <f aca="false">ABS(M58-0.17355)/0.016</f>
        <v>0.277018957349625</v>
      </c>
      <c r="S58" s="17" t="n">
        <f aca="false">SQRT(Q58*Q58+R58*R58)</f>
        <v>0.284987271428009</v>
      </c>
    </row>
    <row r="59" customFormat="false" ht="12.8" hidden="false" customHeight="false" outlineLevel="0" collapsed="false">
      <c r="A59" s="4" t="s">
        <v>18</v>
      </c>
      <c r="B59" s="4" t="n">
        <v>2.8</v>
      </c>
      <c r="C59" s="4" t="n">
        <v>40</v>
      </c>
      <c r="D59" s="1" t="n">
        <v>7.11051620843114</v>
      </c>
      <c r="E59" s="4" t="n">
        <v>0</v>
      </c>
      <c r="F59" s="1" t="n">
        <v>0.7</v>
      </c>
      <c r="G59" s="4" t="n">
        <v>1E+021</v>
      </c>
      <c r="H59" s="4" t="n">
        <v>0.3</v>
      </c>
      <c r="I59" s="5" t="n">
        <v>1000000000</v>
      </c>
      <c r="J59" s="6" t="n">
        <v>1659.36682820179</v>
      </c>
      <c r="K59" s="7" t="n">
        <v>0.364312444687117</v>
      </c>
      <c r="L59" s="8" t="n">
        <v>0.131314082644089</v>
      </c>
      <c r="M59" s="7" t="n">
        <v>0.168570190719536</v>
      </c>
      <c r="N59" s="7" t="n">
        <v>-0.00188395300487107</v>
      </c>
      <c r="O59" s="1" t="n">
        <v>211.57067404802</v>
      </c>
      <c r="P59" s="1" t="n">
        <v>200.683878561845</v>
      </c>
      <c r="Q59" s="16" t="n">
        <f aca="false">ABS(K59-0.36395)/0.0012</f>
        <v>0.30203723926416</v>
      </c>
      <c r="R59" s="16" t="n">
        <f aca="false">ABS(M59-0.17355)/0.016</f>
        <v>0.311238080029001</v>
      </c>
      <c r="S59" s="17" t="n">
        <f aca="false">SQRT(Q59*Q59+R59*R59)</f>
        <v>0.433699938162843</v>
      </c>
    </row>
    <row r="60" customFormat="false" ht="12.8" hidden="false" customHeight="false" outlineLevel="0" collapsed="false">
      <c r="A60" s="4" t="s">
        <v>18</v>
      </c>
      <c r="B60" s="4" t="n">
        <v>2.8</v>
      </c>
      <c r="C60" s="4" t="n">
        <v>35</v>
      </c>
      <c r="D60" s="1" t="n">
        <v>7.11096492654657</v>
      </c>
      <c r="E60" s="4" t="n">
        <v>0</v>
      </c>
      <c r="F60" s="1" t="n">
        <v>0.7</v>
      </c>
      <c r="G60" s="4" t="n">
        <v>1E+021</v>
      </c>
      <c r="H60" s="4" t="n">
        <v>0.3</v>
      </c>
      <c r="I60" s="5" t="n">
        <v>1000000000</v>
      </c>
      <c r="J60" s="6" t="n">
        <v>1655.21404420179</v>
      </c>
      <c r="K60" s="7" t="n">
        <v>0.364589214405927</v>
      </c>
      <c r="L60" s="8" t="n">
        <v>0.130938373506242</v>
      </c>
      <c r="M60" s="7" t="n">
        <v>0.167958310083217</v>
      </c>
      <c r="N60" s="7" t="n">
        <v>-0.00187753274152408</v>
      </c>
      <c r="O60" s="1" t="n">
        <v>210.845186547034</v>
      </c>
      <c r="P60" s="1" t="n">
        <v>200.753275571583</v>
      </c>
      <c r="Q60" s="16" t="n">
        <f aca="false">ABS(K60-0.36395)/0.0012</f>
        <v>0.532678671605845</v>
      </c>
      <c r="R60" s="16" t="n">
        <f aca="false">ABS(M60-0.17355)/0.016</f>
        <v>0.349480619798939</v>
      </c>
      <c r="S60" s="17" t="n">
        <f aca="false">SQRT(Q60*Q60+R60*R60)</f>
        <v>0.637089688190617</v>
      </c>
    </row>
    <row r="61" customFormat="false" ht="12.8" hidden="false" customHeight="false" outlineLevel="0" collapsed="false">
      <c r="A61" s="4" t="s">
        <v>18</v>
      </c>
      <c r="B61" s="4" t="n">
        <v>2.9</v>
      </c>
      <c r="C61" s="4" t="n">
        <v>60</v>
      </c>
      <c r="D61" s="1" t="n">
        <v>7.11444857571868</v>
      </c>
      <c r="E61" s="4" t="n">
        <v>0</v>
      </c>
      <c r="F61" s="1" t="n">
        <v>0.7</v>
      </c>
      <c r="G61" s="4" t="n">
        <v>1E+021</v>
      </c>
      <c r="H61" s="4" t="n">
        <v>0.3</v>
      </c>
      <c r="I61" s="5" t="n">
        <v>1000000000</v>
      </c>
      <c r="J61" s="6" t="n">
        <v>1665.46921220178</v>
      </c>
      <c r="K61" s="7" t="n">
        <v>0.363900512361015</v>
      </c>
      <c r="L61" s="8" t="n">
        <v>0.131877567693679</v>
      </c>
      <c r="M61" s="7" t="n">
        <v>0.169485599264542</v>
      </c>
      <c r="N61" s="7" t="n">
        <v>-0.00188806273581077</v>
      </c>
      <c r="O61" s="1" t="n">
        <v>211.053894892083</v>
      </c>
      <c r="P61" s="1" t="n">
        <v>200.581282094647</v>
      </c>
      <c r="Q61" s="16" t="n">
        <f aca="false">ABS(K61-0.36395)/0.0012</f>
        <v>0.041239699154159</v>
      </c>
      <c r="R61" s="16" t="n">
        <f aca="false">ABS(M61-0.17355)/0.016</f>
        <v>0.254025045966126</v>
      </c>
      <c r="S61" s="17" t="n">
        <f aca="false">SQRT(Q61*Q61+R61*R61)</f>
        <v>0.257350804864524</v>
      </c>
    </row>
    <row r="62" customFormat="false" ht="12.8" hidden="false" customHeight="false" outlineLevel="0" collapsed="false">
      <c r="A62" s="4" t="s">
        <v>18</v>
      </c>
      <c r="B62" s="4" t="n">
        <v>2.9</v>
      </c>
      <c r="C62" s="4" t="n">
        <v>65</v>
      </c>
      <c r="D62" s="1" t="n">
        <v>7.11778314774103</v>
      </c>
      <c r="E62" s="4" t="n">
        <v>0</v>
      </c>
      <c r="F62" s="1" t="n">
        <v>0.7</v>
      </c>
      <c r="G62" s="4" t="n">
        <v>1E+021</v>
      </c>
      <c r="H62" s="4" t="n">
        <v>0.3</v>
      </c>
      <c r="I62" s="5" t="n">
        <v>1000000000</v>
      </c>
      <c r="J62" s="6" t="n">
        <v>1668.60502020178</v>
      </c>
      <c r="K62" s="7" t="n">
        <v>0.363678650368012</v>
      </c>
      <c r="L62" s="8" t="n">
        <v>0.132159708910302</v>
      </c>
      <c r="M62" s="7" t="n">
        <v>0.169947393266744</v>
      </c>
      <c r="N62" s="7" t="n">
        <v>-0.00189245792849585</v>
      </c>
      <c r="O62" s="1" t="n">
        <v>211.592002037877</v>
      </c>
      <c r="P62" s="1" t="n">
        <v>200.526037044824</v>
      </c>
      <c r="Q62" s="16" t="n">
        <f aca="false">ABS(K62-0.36395)/0.0012</f>
        <v>0.226124693323328</v>
      </c>
      <c r="R62" s="16" t="n">
        <f aca="false">ABS(M62-0.17355)/0.016</f>
        <v>0.225162920828501</v>
      </c>
      <c r="S62" s="17" t="n">
        <f aca="false">SQRT(Q62*Q62+R62*R62)</f>
        <v>0.319109256911471</v>
      </c>
    </row>
    <row r="63" customFormat="false" ht="12.8" hidden="false" customHeight="false" outlineLevel="0" collapsed="false">
      <c r="A63" s="4" t="s">
        <v>18</v>
      </c>
      <c r="B63" s="4" t="n">
        <v>2.9</v>
      </c>
      <c r="C63" s="4" t="n">
        <v>70</v>
      </c>
      <c r="D63" s="1" t="n">
        <v>7.12134923659868</v>
      </c>
      <c r="E63" s="4" t="n">
        <v>0</v>
      </c>
      <c r="F63" s="1" t="n">
        <v>0.7</v>
      </c>
      <c r="G63" s="4" t="n">
        <v>1E+021</v>
      </c>
      <c r="H63" s="4" t="n">
        <v>0.3</v>
      </c>
      <c r="I63" s="5" t="n">
        <v>1000000000</v>
      </c>
      <c r="J63" s="6" t="n">
        <v>1671.74082820178</v>
      </c>
      <c r="K63" s="7" t="n">
        <v>0.363456262855635</v>
      </c>
      <c r="L63" s="8" t="n">
        <v>0.132443166296982</v>
      </c>
      <c r="M63" s="7" t="n">
        <v>0.170411427687373</v>
      </c>
      <c r="N63" s="7" t="n">
        <v>-0.00189687449470971</v>
      </c>
      <c r="O63" s="1" t="n">
        <v>210.770983670753</v>
      </c>
      <c r="P63" s="1" t="n">
        <v>200.470222713459</v>
      </c>
      <c r="Q63" s="16" t="n">
        <f aca="false">ABS(K63-0.36395)/0.0012</f>
        <v>0.411447620304178</v>
      </c>
      <c r="R63" s="16" t="n">
        <f aca="false">ABS(M63-0.17355)/0.016</f>
        <v>0.196160769539188</v>
      </c>
      <c r="S63" s="17" t="n">
        <f aca="false">SQRT(Q63*Q63+R63*R63)</f>
        <v>0.455815962599137</v>
      </c>
    </row>
    <row r="64" customFormat="false" ht="12.8" hidden="false" customHeight="false" outlineLevel="0" collapsed="false">
      <c r="A64" s="4" t="s">
        <v>18</v>
      </c>
      <c r="B64" s="4" t="n">
        <v>2.9</v>
      </c>
      <c r="C64" s="4" t="n">
        <v>55</v>
      </c>
      <c r="D64" s="1" t="n">
        <v>7.11803026812062</v>
      </c>
      <c r="E64" s="4" t="n">
        <v>0</v>
      </c>
      <c r="F64" s="1" t="n">
        <v>0.7</v>
      </c>
      <c r="G64" s="4" t="n">
        <v>1E+021</v>
      </c>
      <c r="H64" s="4" t="n">
        <v>0.3</v>
      </c>
      <c r="I64" s="5" t="n">
        <v>1000000000</v>
      </c>
      <c r="J64" s="6" t="n">
        <v>1661.99441220178</v>
      </c>
      <c r="K64" s="7" t="n">
        <v>0.364115631839149</v>
      </c>
      <c r="L64" s="8" t="n">
        <v>0.131550631326938</v>
      </c>
      <c r="M64" s="7" t="n">
        <v>0.16895696922821</v>
      </c>
      <c r="N64" s="7" t="n">
        <v>-0.0018827178160773</v>
      </c>
      <c r="O64" s="1" t="n">
        <v>210.246716160538</v>
      </c>
      <c r="P64" s="1" t="n">
        <v>200.638808012568</v>
      </c>
      <c r="Q64" s="16" t="n">
        <f aca="false">ABS(K64-0.36395)/0.0012</f>
        <v>0.13802653262419</v>
      </c>
      <c r="R64" s="16" t="n">
        <f aca="false">ABS(M64-0.17355)/0.016</f>
        <v>0.287064423236876</v>
      </c>
      <c r="S64" s="17" t="n">
        <f aca="false">SQRT(Q64*Q64+R64*R64)</f>
        <v>0.318523636166261</v>
      </c>
    </row>
    <row r="65" customFormat="false" ht="12.8" hidden="false" customHeight="false" outlineLevel="0" collapsed="false">
      <c r="A65" s="4" t="s">
        <v>18</v>
      </c>
      <c r="B65" s="4" t="n">
        <v>2.9</v>
      </c>
      <c r="C65" s="4" t="n">
        <v>50</v>
      </c>
      <c r="D65" s="1" t="n">
        <v>7.11476079644757</v>
      </c>
      <c r="E65" s="4" t="n">
        <v>0</v>
      </c>
      <c r="F65" s="1" t="n">
        <v>0.7</v>
      </c>
      <c r="G65" s="4" t="n">
        <v>1E+021</v>
      </c>
      <c r="H65" s="4" t="n">
        <v>0.3</v>
      </c>
      <c r="I65" s="5" t="n">
        <v>1000000000</v>
      </c>
      <c r="J65" s="6" t="n">
        <v>1658.85860420179</v>
      </c>
      <c r="K65" s="7" t="n">
        <v>0.364337961872257</v>
      </c>
      <c r="L65" s="8" t="n">
        <v>0.131271755718081</v>
      </c>
      <c r="M65" s="7" t="n">
        <v>0.168500356465286</v>
      </c>
      <c r="N65" s="7" t="n">
        <v>-0.00187840226446528</v>
      </c>
      <c r="O65" s="1" t="n">
        <v>210.605123683952</v>
      </c>
      <c r="P65" s="1" t="n">
        <v>200.692955079321</v>
      </c>
      <c r="Q65" s="16" t="n">
        <f aca="false">ABS(K65-0.36395)/0.0012</f>
        <v>0.323301560214151</v>
      </c>
      <c r="R65" s="16" t="n">
        <f aca="false">ABS(M65-0.17355)/0.016</f>
        <v>0.315602720919626</v>
      </c>
      <c r="S65" s="17" t="n">
        <f aca="false">SQRT(Q65*Q65+R65*R65)</f>
        <v>0.451806348216551</v>
      </c>
    </row>
    <row r="66" customFormat="false" ht="12.8" hidden="false" customHeight="false" outlineLevel="0" collapsed="false">
      <c r="A66" s="4" t="s">
        <v>18</v>
      </c>
      <c r="B66" s="4" t="n">
        <v>2.9</v>
      </c>
      <c r="C66" s="4" t="n">
        <v>45</v>
      </c>
      <c r="D66" s="1" t="n">
        <v>7.11148004634035</v>
      </c>
      <c r="E66" s="4" t="n">
        <v>0</v>
      </c>
      <c r="F66" s="1" t="n">
        <v>0.7</v>
      </c>
      <c r="G66" s="4" t="n">
        <v>1E+021</v>
      </c>
      <c r="H66" s="4" t="n">
        <v>0.3</v>
      </c>
      <c r="I66" s="5" t="n">
        <v>1000000000</v>
      </c>
      <c r="J66" s="6" t="n">
        <v>1655.72279620179</v>
      </c>
      <c r="K66" s="7" t="n">
        <v>0.364560802502823</v>
      </c>
      <c r="L66" s="8" t="n">
        <v>0.130994540210452</v>
      </c>
      <c r="M66" s="7" t="n">
        <v>0.168046312737757</v>
      </c>
      <c r="N66" s="7" t="n">
        <v>-0.00187411939630416</v>
      </c>
      <c r="O66" s="1" t="n">
        <v>210.832702952982</v>
      </c>
      <c r="P66" s="1" t="n">
        <v>200.746618629809</v>
      </c>
      <c r="Q66" s="16" t="n">
        <f aca="false">ABS(K66-0.36395)/0.0012</f>
        <v>0.509002085685856</v>
      </c>
      <c r="R66" s="16" t="n">
        <f aca="false">ABS(M66-0.17355)/0.016</f>
        <v>0.343980453890188</v>
      </c>
      <c r="S66" s="17" t="n">
        <f aca="false">SQRT(Q66*Q66+R66*R66)</f>
        <v>0.614333521705475</v>
      </c>
    </row>
    <row r="67" customFormat="false" ht="12.8" hidden="false" customHeight="false" outlineLevel="0" collapsed="false">
      <c r="A67" s="4" t="s">
        <v>18</v>
      </c>
      <c r="B67" s="4" t="n">
        <v>3</v>
      </c>
      <c r="C67" s="4" t="n">
        <v>70</v>
      </c>
      <c r="D67" s="1" t="n">
        <v>7.1159194862814</v>
      </c>
      <c r="E67" s="4" t="n">
        <v>0</v>
      </c>
      <c r="F67" s="1" t="n">
        <v>0.7</v>
      </c>
      <c r="G67" s="4" t="n">
        <v>1E+021</v>
      </c>
      <c r="H67" s="4" t="n">
        <v>0.3</v>
      </c>
      <c r="I67" s="5" t="n">
        <v>1000000000</v>
      </c>
      <c r="J67" s="6" t="n">
        <v>1660.21510020178</v>
      </c>
      <c r="K67" s="7" t="n">
        <v>0.364260815801966</v>
      </c>
      <c r="L67" s="8" t="n">
        <v>0.131418178463416</v>
      </c>
      <c r="M67" s="7" t="n">
        <v>0.168730310765941</v>
      </c>
      <c r="N67" s="7" t="n">
        <v>-0.00187329462227504</v>
      </c>
      <c r="O67" s="1" t="n">
        <v>210.921420110725</v>
      </c>
      <c r="P67" s="1" t="n">
        <v>200.674194270835</v>
      </c>
      <c r="Q67" s="16" t="n">
        <f aca="false">ABS(K67-0.36395)/0.0012</f>
        <v>0.259013168305011</v>
      </c>
      <c r="R67" s="16" t="n">
        <f aca="false">ABS(M67-0.17355)/0.016</f>
        <v>0.301230577128688</v>
      </c>
      <c r="S67" s="17" t="n">
        <f aca="false">SQRT(Q67*Q67+R67*R67)</f>
        <v>0.397275322607235</v>
      </c>
    </row>
    <row r="68" customFormat="false" ht="12.8" hidden="false" customHeight="false" outlineLevel="0" collapsed="false">
      <c r="A68" s="4" t="s">
        <v>18</v>
      </c>
      <c r="B68" s="4" t="n">
        <v>3</v>
      </c>
      <c r="C68" s="4" t="n">
        <v>65</v>
      </c>
      <c r="D68" s="1" t="n">
        <v>7.11447140423264</v>
      </c>
      <c r="E68" s="4" t="n">
        <v>0</v>
      </c>
      <c r="F68" s="1" t="n">
        <v>0.7</v>
      </c>
      <c r="G68" s="4" t="n">
        <v>1E+021</v>
      </c>
      <c r="H68" s="4" t="n">
        <v>0.3</v>
      </c>
      <c r="I68" s="5" t="n">
        <v>1000000000</v>
      </c>
      <c r="J68" s="6" t="n">
        <v>1657.75727620178</v>
      </c>
      <c r="K68" s="7" t="n">
        <v>0.36442790046943</v>
      </c>
      <c r="L68" s="8" t="n">
        <v>0.131194921767868</v>
      </c>
      <c r="M68" s="7" t="n">
        <v>0.168366670894721</v>
      </c>
      <c r="N68" s="7" t="n">
        <v>-0.00187022986738455</v>
      </c>
      <c r="O68" s="1" t="n">
        <v>210.793138603327</v>
      </c>
      <c r="P68" s="1" t="n">
        <v>200.71548753413</v>
      </c>
      <c r="Q68" s="16" t="n">
        <f aca="false">ABS(K68-0.36395)/0.0012</f>
        <v>0.398250391191688</v>
      </c>
      <c r="R68" s="16" t="n">
        <f aca="false">ABS(M68-0.17355)/0.016</f>
        <v>0.323958069079939</v>
      </c>
      <c r="S68" s="17" t="n">
        <f aca="false">SQRT(Q68*Q68+R68*R68)</f>
        <v>0.513373357904688</v>
      </c>
    </row>
    <row r="69" customFormat="false" ht="12.8" hidden="false" customHeight="false" outlineLevel="0" collapsed="false">
      <c r="A69" s="4" t="s">
        <v>18</v>
      </c>
      <c r="B69" s="4" t="n">
        <v>3</v>
      </c>
      <c r="C69" s="4" t="n">
        <v>60</v>
      </c>
      <c r="D69" s="1" t="n">
        <v>7.11341628087881</v>
      </c>
      <c r="E69" s="4" t="n">
        <v>0</v>
      </c>
      <c r="F69" s="1" t="n">
        <v>0.7</v>
      </c>
      <c r="G69" s="4" t="n">
        <v>1E+021</v>
      </c>
      <c r="H69" s="4" t="n">
        <v>0.3</v>
      </c>
      <c r="I69" s="5" t="n">
        <v>1000000000</v>
      </c>
      <c r="J69" s="6" t="n">
        <v>1655.29945220179</v>
      </c>
      <c r="K69" s="7" t="n">
        <v>0.364593845263122</v>
      </c>
      <c r="L69" s="8" t="n">
        <v>0.130972149392959</v>
      </c>
      <c r="M69" s="7" t="n">
        <v>0.168004048998093</v>
      </c>
      <c r="N69" s="7" t="n">
        <v>-0.00186716013531491</v>
      </c>
      <c r="O69" s="1" t="n">
        <v>210.822817086495</v>
      </c>
      <c r="P69" s="1" t="n">
        <v>200.756376352591</v>
      </c>
      <c r="Q69" s="16" t="n">
        <f aca="false">ABS(K69-0.36395)/0.0012</f>
        <v>0.536537719268334</v>
      </c>
      <c r="R69" s="16" t="n">
        <f aca="false">ABS(M69-0.17355)/0.016</f>
        <v>0.346621937619189</v>
      </c>
      <c r="S69" s="17" t="n">
        <f aca="false">SQRT(Q69*Q69+R69*R69)</f>
        <v>0.638764034551528</v>
      </c>
    </row>
    <row r="70" customFormat="false" ht="12.8" hidden="false" customHeight="false" outlineLevel="0" collapsed="false">
      <c r="A70" s="4" t="s">
        <v>18</v>
      </c>
      <c r="B70" s="4" t="n">
        <v>2.7</v>
      </c>
      <c r="C70" s="4" t="n">
        <v>43</v>
      </c>
      <c r="D70" s="1" t="n">
        <v>7.20271625267559</v>
      </c>
      <c r="E70" s="4" t="n">
        <v>0</v>
      </c>
      <c r="F70" s="1" t="n">
        <v>0.65</v>
      </c>
      <c r="G70" s="4" t="n">
        <v>1E+021</v>
      </c>
      <c r="H70" s="4" t="n">
        <v>0.3</v>
      </c>
      <c r="I70" s="5" t="n">
        <v>1000000000</v>
      </c>
      <c r="J70" s="6" t="n">
        <v>1650.41355664173</v>
      </c>
      <c r="K70" s="7" t="n">
        <v>0.363488337639343</v>
      </c>
      <c r="L70" s="8" t="n">
        <v>0.129666854063727</v>
      </c>
      <c r="M70" s="7" t="n">
        <v>0.166285130958742</v>
      </c>
      <c r="N70" s="7" t="n">
        <v>-0.00182128037104518</v>
      </c>
      <c r="O70" s="1" t="n">
        <v>209.617318987112</v>
      </c>
      <c r="P70" s="1" t="n">
        <v>200.550317957183</v>
      </c>
      <c r="Q70" s="16" t="n">
        <f aca="false">ABS(K70-0.36395)/0.0012</f>
        <v>0.384718633880815</v>
      </c>
      <c r="R70" s="16" t="n">
        <f aca="false">ABS(M70-0.17355)/0.016</f>
        <v>0.454054315078625</v>
      </c>
      <c r="S70" s="17" t="n">
        <f aca="false">SQRT(Q70*Q70+R70*R70)</f>
        <v>0.595124985441412</v>
      </c>
    </row>
    <row r="71" customFormat="false" ht="12.8" hidden="false" customHeight="false" outlineLevel="0" collapsed="false">
      <c r="A71" s="4" t="s">
        <v>18</v>
      </c>
      <c r="B71" s="4" t="n">
        <v>2.8</v>
      </c>
      <c r="C71" s="4" t="n">
        <v>50</v>
      </c>
      <c r="D71" s="1" t="n">
        <v>7.20084305570309</v>
      </c>
      <c r="E71" s="4" t="n">
        <v>0</v>
      </c>
      <c r="F71" s="1" t="n">
        <v>0.65</v>
      </c>
      <c r="G71" s="4" t="n">
        <v>1E+021</v>
      </c>
      <c r="H71" s="4" t="n">
        <v>0.3</v>
      </c>
      <c r="I71" s="5" t="n">
        <v>1000000000</v>
      </c>
      <c r="J71" s="6" t="n">
        <v>1648.94956891196</v>
      </c>
      <c r="K71" s="7" t="n">
        <v>0.36360726260666</v>
      </c>
      <c r="L71" s="8" t="n">
        <v>0.12955320462254</v>
      </c>
      <c r="M71" s="7" t="n">
        <v>0.166064495781668</v>
      </c>
      <c r="N71" s="7" t="n">
        <v>-0.00183603223556703</v>
      </c>
      <c r="O71" s="1" t="n">
        <v>210.162017664587</v>
      </c>
      <c r="P71" s="1" t="n">
        <v>200.577919869003</v>
      </c>
      <c r="Q71" s="16" t="n">
        <f aca="false">ABS(K71-0.36395)/0.0012</f>
        <v>0.285614494450008</v>
      </c>
      <c r="R71" s="16" t="n">
        <f aca="false">ABS(M71-0.17355)/0.016</f>
        <v>0.467844013645751</v>
      </c>
      <c r="S71" s="17" t="n">
        <f aca="false">SQRT(Q71*Q71+R71*R71)</f>
        <v>0.548136534582488</v>
      </c>
    </row>
    <row r="72" s="15" customFormat="true" ht="12.8" hidden="false" customHeight="false" outlineLevel="0" collapsed="false">
      <c r="A72" s="9" t="s">
        <v>18</v>
      </c>
      <c r="B72" s="9" t="n">
        <v>2.9</v>
      </c>
      <c r="C72" s="9" t="n">
        <v>65</v>
      </c>
      <c r="D72" s="10" t="n">
        <v>7.20096145188911</v>
      </c>
      <c r="E72" s="9" t="n">
        <v>0</v>
      </c>
      <c r="F72" s="10" t="n">
        <v>0.65</v>
      </c>
      <c r="G72" s="9" t="n">
        <v>1E+021</v>
      </c>
      <c r="H72" s="9" t="n">
        <v>0.3</v>
      </c>
      <c r="I72" s="11" t="n">
        <v>1000000000</v>
      </c>
      <c r="J72" s="12" t="n">
        <v>1650.29945220178</v>
      </c>
      <c r="K72" s="13" t="n">
        <v>0.363531205975123</v>
      </c>
      <c r="L72" s="14" t="n">
        <v>0.129691588098744</v>
      </c>
      <c r="M72" s="13" t="n">
        <v>0.166251242395144</v>
      </c>
      <c r="N72" s="13" t="n">
        <v>-0.00183969910404924</v>
      </c>
      <c r="O72" s="10" t="n">
        <v>210.477153078343</v>
      </c>
      <c r="P72" s="10" t="n">
        <v>200.558472476743</v>
      </c>
      <c r="Q72" s="16" t="n">
        <f aca="false">ABS(K72-0.36395)/0.0012</f>
        <v>0.348995020730825</v>
      </c>
      <c r="R72" s="16" t="n">
        <f aca="false">ABS(M72-0.17355)/0.016</f>
        <v>0.456172350303501</v>
      </c>
      <c r="S72" s="17" t="n">
        <f aca="false">SQRT(Q72*Q72+R72*R72)</f>
        <v>0.574361156134647</v>
      </c>
    </row>
    <row r="73" customFormat="false" ht="12.8" hidden="false" customHeight="false" outlineLevel="0" collapsed="false">
      <c r="A73" s="4" t="s">
        <v>19</v>
      </c>
      <c r="B73" s="4" t="n">
        <v>2.7</v>
      </c>
      <c r="C73" s="4" t="n">
        <v>45</v>
      </c>
      <c r="D73" s="1" t="n">
        <v>6.96504776672025</v>
      </c>
      <c r="E73" s="4" t="n">
        <v>0</v>
      </c>
      <c r="F73" s="1" t="n">
        <v>0.8</v>
      </c>
      <c r="G73" s="4" t="n">
        <v>1E+021</v>
      </c>
      <c r="H73" s="4" t="n">
        <v>0.3</v>
      </c>
      <c r="I73" s="5" t="n">
        <v>1000000000</v>
      </c>
      <c r="J73" s="6" t="n">
        <v>1701.14772420178</v>
      </c>
      <c r="K73" s="7" t="n">
        <v>0.3637380444923</v>
      </c>
      <c r="L73" s="8" t="n">
        <v>0.138183849294818</v>
      </c>
      <c r="M73" s="7" t="n">
        <v>0.17792891209568</v>
      </c>
      <c r="N73" s="7" t="n">
        <v>-0.00190835838421466</v>
      </c>
      <c r="O73" s="1" t="n">
        <v>211.888862185756</v>
      </c>
      <c r="P73" s="1" t="n">
        <v>200.730881482995</v>
      </c>
      <c r="Q73" s="16" t="n">
        <f aca="false">ABS(K73-0.36395)/0.0012</f>
        <v>0.176629589749983</v>
      </c>
      <c r="R73" s="16" t="n">
        <f aca="false">ABS(M73-0.17355)/0.016</f>
        <v>0.273682005979999</v>
      </c>
      <c r="S73" s="17" t="n">
        <f aca="false">SQRT(Q73*Q73+R73*R73)</f>
        <v>0.325729722887677</v>
      </c>
    </row>
    <row r="74" customFormat="false" ht="12.8" hidden="false" customHeight="false" outlineLevel="0" collapsed="false">
      <c r="A74" s="4" t="s">
        <v>19</v>
      </c>
      <c r="B74" s="4" t="n">
        <v>2.7</v>
      </c>
      <c r="C74" s="4" t="n">
        <v>50</v>
      </c>
      <c r="D74" s="1" t="n">
        <v>6.96935643462572</v>
      </c>
      <c r="E74" s="4" t="n">
        <v>0</v>
      </c>
      <c r="F74" s="1" t="n">
        <v>0.8</v>
      </c>
      <c r="G74" s="4" t="n">
        <v>1E+021</v>
      </c>
      <c r="H74" s="4" t="n">
        <v>0.3</v>
      </c>
      <c r="I74" s="5" t="n">
        <v>1000000000</v>
      </c>
      <c r="J74" s="6" t="n">
        <v>1705.97849220178</v>
      </c>
      <c r="K74" s="7" t="n">
        <v>0.363409039733433</v>
      </c>
      <c r="L74" s="8" t="n">
        <v>0.138656863450681</v>
      </c>
      <c r="M74" s="7" t="n">
        <v>0.17868690029182</v>
      </c>
      <c r="N74" s="7" t="n">
        <v>-0.00191636892258007</v>
      </c>
      <c r="O74" s="1" t="n">
        <v>211.438583492927</v>
      </c>
      <c r="P74" s="1" t="n">
        <v>200.642023615142</v>
      </c>
      <c r="Q74" s="16" t="n">
        <f aca="false">ABS(K74-0.36395)/0.0012</f>
        <v>0.450800222139142</v>
      </c>
      <c r="R74" s="16" t="n">
        <f aca="false">ABS(M74-0.17355)/0.016</f>
        <v>0.321056268238749</v>
      </c>
      <c r="S74" s="17" t="n">
        <f aca="false">SQRT(Q74*Q74+R74*R74)</f>
        <v>0.553441927988918</v>
      </c>
    </row>
    <row r="75" customFormat="false" ht="12.8" hidden="false" customHeight="false" outlineLevel="0" collapsed="false">
      <c r="A75" s="4" t="s">
        <v>19</v>
      </c>
      <c r="B75" s="4" t="n">
        <v>2.7</v>
      </c>
      <c r="C75" s="4" t="n">
        <v>40</v>
      </c>
      <c r="D75" s="1" t="n">
        <v>6.96680417604095</v>
      </c>
      <c r="E75" s="4" t="n">
        <v>0</v>
      </c>
      <c r="F75" s="1" t="n">
        <v>0.8</v>
      </c>
      <c r="G75" s="4" t="n">
        <v>1E+021</v>
      </c>
      <c r="H75" s="4" t="n">
        <v>0.3</v>
      </c>
      <c r="I75" s="5" t="n">
        <v>1000000000</v>
      </c>
      <c r="J75" s="6" t="n">
        <v>1695.97796420178</v>
      </c>
      <c r="K75" s="7" t="n">
        <v>0.364062479552956</v>
      </c>
      <c r="L75" s="8" t="n">
        <v>0.137666247025963</v>
      </c>
      <c r="M75" s="7" t="n">
        <v>0.177104824799012</v>
      </c>
      <c r="N75" s="7" t="n">
        <v>-0.00189947709896465</v>
      </c>
      <c r="O75" s="1" t="n">
        <v>211.389033605456</v>
      </c>
      <c r="P75" s="1" t="n">
        <v>200.821542997307</v>
      </c>
      <c r="Q75" s="16" t="n">
        <f aca="false">ABS(K75-0.36395)/0.0012</f>
        <v>0.0937329607966775</v>
      </c>
      <c r="R75" s="16" t="n">
        <f aca="false">ABS(M75-0.17355)/0.016</f>
        <v>0.222176549938249</v>
      </c>
      <c r="S75" s="17" t="n">
        <f aca="false">SQRT(Q75*Q75+R75*R75)</f>
        <v>0.241139559761924</v>
      </c>
    </row>
    <row r="76" customFormat="false" ht="12.8" hidden="false" customHeight="false" outlineLevel="0" collapsed="false">
      <c r="A76" s="4" t="s">
        <v>19</v>
      </c>
      <c r="B76" s="4" t="n">
        <v>2.7</v>
      </c>
      <c r="C76" s="4" t="n">
        <v>35</v>
      </c>
      <c r="D76" s="1" t="n">
        <v>6.96151209222151</v>
      </c>
      <c r="E76" s="4" t="n">
        <v>0</v>
      </c>
      <c r="F76" s="1" t="n">
        <v>0.8</v>
      </c>
      <c r="G76" s="4" t="n">
        <v>1E+021</v>
      </c>
      <c r="H76" s="4" t="n">
        <v>0.3</v>
      </c>
      <c r="I76" s="5" t="n">
        <v>1000000000</v>
      </c>
      <c r="J76" s="6" t="n">
        <v>1691.14719620178</v>
      </c>
      <c r="K76" s="7" t="n">
        <v>0.364396313472581</v>
      </c>
      <c r="L76" s="8" t="n">
        <v>0.137202824456388</v>
      </c>
      <c r="M76" s="7" t="n">
        <v>0.176360825646509</v>
      </c>
      <c r="N76" s="7" t="n">
        <v>-0.00189169404916129</v>
      </c>
      <c r="O76" s="1" t="n">
        <v>211.695715643896</v>
      </c>
      <c r="P76" s="1" t="n">
        <v>200.908099101876</v>
      </c>
      <c r="Q76" s="16" t="n">
        <f aca="false">ABS(K76-0.36395)/0.0012</f>
        <v>0.371927893817505</v>
      </c>
      <c r="R76" s="16" t="n">
        <f aca="false">ABS(M76-0.17355)/0.016</f>
        <v>0.175676602906813</v>
      </c>
      <c r="S76" s="17" t="n">
        <f aca="false">SQRT(Q76*Q76+R76*R76)</f>
        <v>0.411330313748456</v>
      </c>
    </row>
    <row r="77" customFormat="false" ht="12.8" hidden="false" customHeight="false" outlineLevel="0" collapsed="false">
      <c r="A77" s="4" t="s">
        <v>19</v>
      </c>
      <c r="B77" s="4" t="n">
        <v>2.8</v>
      </c>
      <c r="C77" s="4" t="n">
        <v>55</v>
      </c>
      <c r="D77" s="1" t="n">
        <v>6.96500390662069</v>
      </c>
      <c r="E77" s="4" t="n">
        <v>0</v>
      </c>
      <c r="F77" s="1" t="n">
        <v>0.8</v>
      </c>
      <c r="G77" s="4" t="n">
        <v>1E+021</v>
      </c>
      <c r="H77" s="4" t="n">
        <v>0.3</v>
      </c>
      <c r="I77" s="5" t="n">
        <v>1000000000</v>
      </c>
      <c r="J77" s="6" t="n">
        <v>1701.65647620178</v>
      </c>
      <c r="K77" s="7" t="n">
        <v>0.363717951226789</v>
      </c>
      <c r="L77" s="8" t="n">
        <v>0.138241812877219</v>
      </c>
      <c r="M77" s="7" t="n">
        <v>0.178015170446289</v>
      </c>
      <c r="N77" s="7" t="n">
        <v>-0.00190524452890301</v>
      </c>
      <c r="O77" s="1" t="n">
        <v>212.328919834358</v>
      </c>
      <c r="P77" s="1" t="n">
        <v>200.72312816993</v>
      </c>
      <c r="Q77" s="16" t="n">
        <f aca="false">ABS(K77-0.36395)/0.0012</f>
        <v>0.193373977675817</v>
      </c>
      <c r="R77" s="16" t="n">
        <f aca="false">ABS(M77-0.17355)/0.016</f>
        <v>0.279073152893062</v>
      </c>
      <c r="S77" s="17" t="n">
        <f aca="false">SQRT(Q77*Q77+R77*R77)</f>
        <v>0.339522193542398</v>
      </c>
    </row>
    <row r="78" customFormat="false" ht="12.8" hidden="false" customHeight="false" outlineLevel="0" collapsed="false">
      <c r="A78" s="4" t="s">
        <v>19</v>
      </c>
      <c r="B78" s="4" t="n">
        <v>2.8</v>
      </c>
      <c r="C78" s="4" t="n">
        <v>60</v>
      </c>
      <c r="D78" s="1" t="n">
        <v>6.97259366980222</v>
      </c>
      <c r="E78" s="4" t="n">
        <v>0</v>
      </c>
      <c r="F78" s="1" t="n">
        <v>0.8</v>
      </c>
      <c r="G78" s="4" t="n">
        <v>1E+021</v>
      </c>
      <c r="H78" s="4" t="n">
        <v>0.3</v>
      </c>
      <c r="I78" s="5" t="n">
        <v>1000000000</v>
      </c>
      <c r="J78" s="6" t="n">
        <v>1705.47026820178</v>
      </c>
      <c r="K78" s="7" t="n">
        <v>0.363442355770459</v>
      </c>
      <c r="L78" s="8" t="n">
        <v>0.138606544240771</v>
      </c>
      <c r="M78" s="7" t="n">
        <v>0.178602514158302</v>
      </c>
      <c r="N78" s="7" t="n">
        <v>-0.0019110016822303</v>
      </c>
      <c r="O78" s="1" t="n">
        <v>211.427519906188</v>
      </c>
      <c r="P78" s="1" t="n">
        <v>200.651286444547</v>
      </c>
      <c r="Q78" s="16" t="n">
        <f aca="false">ABS(K78-0.36395)/0.0012</f>
        <v>0.423036857950809</v>
      </c>
      <c r="R78" s="16" t="n">
        <f aca="false">ABS(M78-0.17355)/0.016</f>
        <v>0.315782134893874</v>
      </c>
      <c r="S78" s="17" t="n">
        <f aca="false">SQRT(Q78*Q78+R78*R78)</f>
        <v>0.527900123037518</v>
      </c>
    </row>
    <row r="79" customFormat="false" ht="12.8" hidden="false" customHeight="false" outlineLevel="0" collapsed="false">
      <c r="A79" s="4" t="s">
        <v>19</v>
      </c>
      <c r="B79" s="4" t="n">
        <v>2.8</v>
      </c>
      <c r="C79" s="4" t="n">
        <v>50</v>
      </c>
      <c r="D79" s="1" t="n">
        <v>6.96375832210377</v>
      </c>
      <c r="E79" s="4" t="n">
        <v>0</v>
      </c>
      <c r="F79" s="1" t="n">
        <v>0.8</v>
      </c>
      <c r="G79" s="4" t="n">
        <v>1E+021</v>
      </c>
      <c r="H79" s="4" t="n">
        <v>0.3</v>
      </c>
      <c r="I79" s="5" t="n">
        <v>1000000000</v>
      </c>
      <c r="J79" s="6" t="n">
        <v>1697.50369220178</v>
      </c>
      <c r="K79" s="7" t="n">
        <v>0.363988059819873</v>
      </c>
      <c r="L79" s="8" t="n">
        <v>0.137830735070024</v>
      </c>
      <c r="M79" s="7" t="n">
        <v>0.177359174390312</v>
      </c>
      <c r="N79" s="7" t="n">
        <v>-0.00189855011421808</v>
      </c>
      <c r="O79" s="1" t="n">
        <v>211.308138499342</v>
      </c>
      <c r="P79" s="1" t="n">
        <v>200.797237737028</v>
      </c>
      <c r="Q79" s="16" t="n">
        <f aca="false">ABS(K79-0.36395)/0.0012</f>
        <v>0.0317165165608184</v>
      </c>
      <c r="R79" s="16" t="n">
        <f aca="false">ABS(M79-0.17355)/0.016</f>
        <v>0.2380733993945</v>
      </c>
      <c r="S79" s="17" t="n">
        <f aca="false">SQRT(Q79*Q79+R79*R79)</f>
        <v>0.24017677015483</v>
      </c>
    </row>
    <row r="80" customFormat="false" ht="12.8" hidden="false" customHeight="false" outlineLevel="0" collapsed="false">
      <c r="A80" s="4" t="s">
        <v>19</v>
      </c>
      <c r="B80" s="4" t="n">
        <v>2.8</v>
      </c>
      <c r="C80" s="4" t="n">
        <v>45</v>
      </c>
      <c r="D80" s="1" t="n">
        <v>6.96227566282923</v>
      </c>
      <c r="E80" s="4" t="n">
        <v>0</v>
      </c>
      <c r="F80" s="1" t="n">
        <v>0.8</v>
      </c>
      <c r="G80" s="4" t="n">
        <v>1E+021</v>
      </c>
      <c r="H80" s="4" t="n">
        <v>0.3</v>
      </c>
      <c r="I80" s="5" t="n">
        <v>1000000000</v>
      </c>
      <c r="J80" s="6" t="n">
        <v>1693.35090820178</v>
      </c>
      <c r="K80" s="7" t="n">
        <v>0.364259551222335</v>
      </c>
      <c r="L80" s="8" t="n">
        <v>0.137423078365313</v>
      </c>
      <c r="M80" s="7" t="n">
        <v>0.176708218652845</v>
      </c>
      <c r="N80" s="7" t="n">
        <v>-0.00189192570003385</v>
      </c>
      <c r="O80" s="1" t="n">
        <v>211.530682191106</v>
      </c>
      <c r="P80" s="1" t="n">
        <v>200.870514138564</v>
      </c>
      <c r="Q80" s="16" t="n">
        <f aca="false">ABS(K80-0.36395)/0.0012</f>
        <v>0.257959351945836</v>
      </c>
      <c r="R80" s="16" t="n">
        <f aca="false">ABS(M80-0.17355)/0.016</f>
        <v>0.197388665802812</v>
      </c>
      <c r="S80" s="17" t="n">
        <f aca="false">SQRT(Q80*Q80+R80*R80)</f>
        <v>0.324815813413894</v>
      </c>
    </row>
    <row r="81" customFormat="false" ht="12.8" hidden="false" customHeight="false" outlineLevel="0" collapsed="false">
      <c r="A81" s="4" t="s">
        <v>19</v>
      </c>
      <c r="B81" s="4" t="n">
        <v>2.8</v>
      </c>
      <c r="C81" s="4" t="n">
        <v>40</v>
      </c>
      <c r="D81" s="1" t="n">
        <v>6.96057349233998</v>
      </c>
      <c r="E81" s="4" t="n">
        <v>0</v>
      </c>
      <c r="F81" s="1" t="n">
        <v>0.8</v>
      </c>
      <c r="G81" s="4" t="n">
        <v>1E+021</v>
      </c>
      <c r="H81" s="4" t="n">
        <v>0.3</v>
      </c>
      <c r="I81" s="5" t="n">
        <v>1000000000</v>
      </c>
      <c r="J81" s="6" t="n">
        <v>1689.19812420178</v>
      </c>
      <c r="K81" s="7" t="n">
        <v>0.364532482016871</v>
      </c>
      <c r="L81" s="8" t="n">
        <v>0.137018619384313</v>
      </c>
      <c r="M81" s="7" t="n">
        <v>0.176061978972218</v>
      </c>
      <c r="N81" s="7" t="n">
        <v>-0.00188537535081818</v>
      </c>
      <c r="O81" s="1" t="n">
        <v>211.716468104306</v>
      </c>
      <c r="P81" s="1" t="n">
        <v>200.94294394282</v>
      </c>
      <c r="Q81" s="16" t="n">
        <f aca="false">ABS(K81-0.36395)/0.0012</f>
        <v>0.485401680725833</v>
      </c>
      <c r="R81" s="16" t="n">
        <f aca="false">ABS(M81-0.17355)/0.016</f>
        <v>0.156998685763625</v>
      </c>
      <c r="S81" s="17" t="n">
        <f aca="false">SQRT(Q81*Q81+R81*R81)</f>
        <v>0.510160150328276</v>
      </c>
    </row>
    <row r="82" customFormat="false" ht="12.8" hidden="false" customHeight="false" outlineLevel="0" collapsed="false">
      <c r="A82" s="4" t="s">
        <v>19</v>
      </c>
      <c r="B82" s="4" t="n">
        <v>2.9</v>
      </c>
      <c r="C82" s="4" t="n">
        <v>70</v>
      </c>
      <c r="D82" s="1" t="n">
        <v>6.97029418455516</v>
      </c>
      <c r="E82" s="4" t="n">
        <v>0</v>
      </c>
      <c r="F82" s="1" t="n">
        <v>0.8</v>
      </c>
      <c r="G82" s="4" t="n">
        <v>1E+021</v>
      </c>
      <c r="H82" s="4" t="n">
        <v>0.3</v>
      </c>
      <c r="I82" s="5" t="n">
        <v>1000000000</v>
      </c>
      <c r="J82" s="6" t="n">
        <v>1701.91111620178</v>
      </c>
      <c r="K82" s="7" t="n">
        <v>0.363698001221187</v>
      </c>
      <c r="L82" s="8" t="n">
        <v>0.138267815365728</v>
      </c>
      <c r="M82" s="7" t="n">
        <v>0.178051506542643</v>
      </c>
      <c r="N82" s="7" t="n">
        <v>-0.00189952742432017</v>
      </c>
      <c r="O82" s="1" t="n">
        <v>211.515672156473</v>
      </c>
      <c r="P82" s="1" t="n">
        <v>200.718553817188</v>
      </c>
      <c r="Q82" s="16" t="n">
        <f aca="false">ABS(K82-0.36395)/0.0012</f>
        <v>0.209998982344158</v>
      </c>
      <c r="R82" s="16" t="n">
        <f aca="false">ABS(M82-0.17355)/0.016</f>
        <v>0.281344158915188</v>
      </c>
      <c r="S82" s="17" t="n">
        <f aca="false">SQRT(Q82*Q82+R82*R82)</f>
        <v>0.35107564475662</v>
      </c>
    </row>
    <row r="83" customFormat="false" ht="12.8" hidden="false" customHeight="false" outlineLevel="0" collapsed="false">
      <c r="A83" s="4" t="s">
        <v>19</v>
      </c>
      <c r="B83" s="4" t="n">
        <v>2.9</v>
      </c>
      <c r="C83" s="4" t="n">
        <v>65</v>
      </c>
      <c r="D83" s="1" t="n">
        <v>6.9653854041818</v>
      </c>
      <c r="E83" s="4" t="n">
        <v>0</v>
      </c>
      <c r="F83" s="1" t="n">
        <v>0.8</v>
      </c>
      <c r="G83" s="4" t="n">
        <v>1E+021</v>
      </c>
      <c r="H83" s="4" t="n">
        <v>0.3</v>
      </c>
      <c r="I83" s="5" t="n">
        <v>1000000000</v>
      </c>
      <c r="J83" s="6" t="n">
        <v>1698.77530820178</v>
      </c>
      <c r="K83" s="7" t="n">
        <v>0.363916501995653</v>
      </c>
      <c r="L83" s="8" t="n">
        <v>0.137964846159332</v>
      </c>
      <c r="M83" s="7" t="n">
        <v>0.177565518827082</v>
      </c>
      <c r="N83" s="7" t="n">
        <v>-0.00189509610092953</v>
      </c>
      <c r="O83" s="1" t="n">
        <v>211.268580327093</v>
      </c>
      <c r="P83" s="1" t="n">
        <v>200.776171774972</v>
      </c>
      <c r="Q83" s="16" t="n">
        <f aca="false">ABS(K83-0.36395)/0.0012</f>
        <v>0.0279150036224899</v>
      </c>
      <c r="R83" s="16" t="n">
        <f aca="false">ABS(M83-0.17355)/0.016</f>
        <v>0.250969926692624</v>
      </c>
      <c r="S83" s="17" t="n">
        <f aca="false">SQRT(Q83*Q83+R83*R83)</f>
        <v>0.25251762617953</v>
      </c>
    </row>
    <row r="84" customFormat="false" ht="12.8" hidden="false" customHeight="false" outlineLevel="0" collapsed="false">
      <c r="A84" s="4" t="s">
        <v>19</v>
      </c>
      <c r="B84" s="4" t="n">
        <v>2.9</v>
      </c>
      <c r="C84" s="4" t="n">
        <v>60</v>
      </c>
      <c r="D84" s="1" t="n">
        <v>6.96631950227892</v>
      </c>
      <c r="E84" s="4" t="n">
        <v>0</v>
      </c>
      <c r="F84" s="1" t="n">
        <v>0.8</v>
      </c>
      <c r="G84" s="4" t="n">
        <v>1E+021</v>
      </c>
      <c r="H84" s="4" t="n">
        <v>0.3</v>
      </c>
      <c r="I84" s="5" t="n">
        <v>1000000000</v>
      </c>
      <c r="J84" s="6" t="n">
        <v>1695.30050820178</v>
      </c>
      <c r="K84" s="7" t="n">
        <v>0.364131586259129</v>
      </c>
      <c r="L84" s="8" t="n">
        <v>0.137615733051723</v>
      </c>
      <c r="M84" s="7" t="n">
        <v>0.177010738717341</v>
      </c>
      <c r="N84" s="7" t="n">
        <v>-0.00188976442370811</v>
      </c>
      <c r="O84" s="1" t="n">
        <v>211.417208599619</v>
      </c>
      <c r="P84" s="1" t="n">
        <v>200.836440306045</v>
      </c>
      <c r="Q84" s="16" t="n">
        <f aca="false">ABS(K84-0.36395)/0.0012</f>
        <v>0.151321882607506</v>
      </c>
      <c r="R84" s="16" t="n">
        <f aca="false">ABS(M84-0.17355)/0.016</f>
        <v>0.216296169833811</v>
      </c>
      <c r="S84" s="17" t="n">
        <f aca="false">SQRT(Q84*Q84+R84*R84)</f>
        <v>0.263974137446563</v>
      </c>
    </row>
    <row r="85" customFormat="false" ht="12.8" hidden="false" customHeight="false" outlineLevel="0" collapsed="false">
      <c r="A85" s="4" t="s">
        <v>19</v>
      </c>
      <c r="B85" s="4" t="n">
        <v>2.9</v>
      </c>
      <c r="C85" s="4" t="n">
        <v>55</v>
      </c>
      <c r="D85" s="1" t="n">
        <v>6.96146088991335</v>
      </c>
      <c r="E85" s="4" t="n">
        <v>0</v>
      </c>
      <c r="F85" s="1" t="n">
        <v>0.8</v>
      </c>
      <c r="G85" s="4" t="n">
        <v>1E+021</v>
      </c>
      <c r="H85" s="4" t="n">
        <v>0.3</v>
      </c>
      <c r="I85" s="5" t="n">
        <v>1000000000</v>
      </c>
      <c r="J85" s="6" t="n">
        <v>1692.16470020178</v>
      </c>
      <c r="K85" s="7" t="n">
        <v>0.364350772513367</v>
      </c>
      <c r="L85" s="8" t="n">
        <v>0.137316192147346</v>
      </c>
      <c r="M85" s="7" t="n">
        <v>0.17653003426643</v>
      </c>
      <c r="N85" s="7" t="n">
        <v>-0.00188535584873079</v>
      </c>
      <c r="O85" s="1" t="n">
        <v>211.553555895458</v>
      </c>
      <c r="P85" s="1" t="n">
        <v>200.892934442888</v>
      </c>
      <c r="Q85" s="16" t="n">
        <f aca="false">ABS(K85-0.36395)/0.0012</f>
        <v>0.333977094472508</v>
      </c>
      <c r="R85" s="16" t="n">
        <f aca="false">ABS(M85-0.17355)/0.016</f>
        <v>0.186252141651874</v>
      </c>
      <c r="S85" s="17" t="n">
        <f aca="false">SQRT(Q85*Q85+R85*R85)</f>
        <v>0.382401045895808</v>
      </c>
    </row>
    <row r="86" customFormat="false" ht="12.8" hidden="false" customHeight="false" outlineLevel="0" collapsed="false">
      <c r="A86" s="4" t="s">
        <v>19</v>
      </c>
      <c r="B86" s="4" t="n">
        <v>2.9</v>
      </c>
      <c r="C86" s="4" t="n">
        <v>50</v>
      </c>
      <c r="D86" s="1" t="n">
        <v>6.96310367084891</v>
      </c>
      <c r="E86" s="4" t="n">
        <v>0</v>
      </c>
      <c r="F86" s="1" t="n">
        <v>0.8</v>
      </c>
      <c r="G86" s="4" t="n">
        <v>1E+021</v>
      </c>
      <c r="H86" s="4" t="n">
        <v>0.3</v>
      </c>
      <c r="I86" s="5" t="n">
        <v>1000000000</v>
      </c>
      <c r="J86" s="6" t="n">
        <v>1688.68990020178</v>
      </c>
      <c r="K86" s="7" t="n">
        <v>0.364563702145788</v>
      </c>
      <c r="L86" s="8" t="n">
        <v>0.136969657828642</v>
      </c>
      <c r="M86" s="7" t="n">
        <v>0.175979807327188</v>
      </c>
      <c r="N86" s="7" t="n">
        <v>-0.00188002932771375</v>
      </c>
      <c r="O86" s="1" t="n">
        <v>211.680776403912</v>
      </c>
      <c r="P86" s="1" t="n">
        <v>200.95173738687</v>
      </c>
      <c r="Q86" s="16" t="n">
        <f aca="false">ABS(K86-0.36395)/0.0012</f>
        <v>0.511418454823322</v>
      </c>
      <c r="R86" s="16" t="n">
        <f aca="false">ABS(M86-0.17355)/0.016</f>
        <v>0.151862957949249</v>
      </c>
      <c r="S86" s="17" t="n">
        <f aca="false">SQRT(Q86*Q86+R86*R86)</f>
        <v>0.533489638072727</v>
      </c>
    </row>
    <row r="87" customFormat="false" ht="12.8" hidden="false" customHeight="false" outlineLevel="0" collapsed="false">
      <c r="A87" s="4" t="s">
        <v>19</v>
      </c>
      <c r="B87" s="4" t="n">
        <v>3</v>
      </c>
      <c r="C87" s="4" t="n">
        <v>70</v>
      </c>
      <c r="D87" s="1" t="n">
        <v>6.96275323458731</v>
      </c>
      <c r="E87" s="4" t="n">
        <v>0</v>
      </c>
      <c r="F87" s="1" t="n">
        <v>0.8</v>
      </c>
      <c r="G87" s="4" t="n">
        <v>1E+021</v>
      </c>
      <c r="H87" s="4" t="n">
        <v>0.3</v>
      </c>
      <c r="I87" s="5" t="n">
        <v>1000000000</v>
      </c>
      <c r="J87" s="6" t="n">
        <v>1690.04639620178</v>
      </c>
      <c r="K87" s="7" t="n">
        <v>0.364497244413025</v>
      </c>
      <c r="L87" s="8" t="n">
        <v>0.137119144402577</v>
      </c>
      <c r="M87" s="7" t="n">
        <v>0.17620606517757</v>
      </c>
      <c r="N87" s="7" t="n">
        <v>-0.00187498867797192</v>
      </c>
      <c r="O87" s="1" t="n">
        <v>211.561544776521</v>
      </c>
      <c r="P87" s="1" t="n">
        <v>200.931462801094</v>
      </c>
      <c r="Q87" s="16" t="n">
        <f aca="false">ABS(K87-0.36395)/0.0012</f>
        <v>0.456037010854171</v>
      </c>
      <c r="R87" s="16" t="n">
        <f aca="false">ABS(M87-0.17355)/0.016</f>
        <v>0.166004073598125</v>
      </c>
      <c r="S87" s="17" t="n">
        <f aca="false">SQRT(Q87*Q87+R87*R87)</f>
        <v>0.485311351319933</v>
      </c>
    </row>
    <row r="88" customFormat="false" ht="12.8" hidden="false" customHeight="false" outlineLevel="0" collapsed="false">
      <c r="A88" s="4" t="s">
        <v>19</v>
      </c>
      <c r="B88" s="4" t="n">
        <v>2.7</v>
      </c>
      <c r="C88" s="4" t="n">
        <v>45</v>
      </c>
      <c r="D88" s="1" t="n">
        <v>6.89432098443811</v>
      </c>
      <c r="E88" s="4" t="n">
        <v>0</v>
      </c>
      <c r="F88" s="1" t="n">
        <v>0.85</v>
      </c>
      <c r="G88" s="4" t="n">
        <v>1E+021</v>
      </c>
      <c r="H88" s="4" t="n">
        <v>0.3</v>
      </c>
      <c r="I88" s="5" t="n">
        <v>1000000000</v>
      </c>
      <c r="J88" s="6" t="n">
        <v>1718.77530820178</v>
      </c>
      <c r="K88" s="7" t="n">
        <v>0.363882097646664</v>
      </c>
      <c r="L88" s="8" t="n">
        <v>0.140782866231593</v>
      </c>
      <c r="M88" s="7" t="n">
        <v>0.181783989532373</v>
      </c>
      <c r="N88" s="7" t="n">
        <v>-0.0019616390830989</v>
      </c>
      <c r="O88" s="1" t="n">
        <v>211.507665906641</v>
      </c>
      <c r="P88" s="1" t="n">
        <v>200.691337957935</v>
      </c>
      <c r="Q88" s="16" t="n">
        <f aca="false">ABS(K88-0.36395)/0.0012</f>
        <v>0.0565852944466501</v>
      </c>
      <c r="R88" s="16" t="n">
        <f aca="false">ABS(M88-0.17355)/0.016</f>
        <v>0.514624345773313</v>
      </c>
      <c r="S88" s="17" t="n">
        <f aca="false">SQRT(Q88*Q88+R88*R88)</f>
        <v>0.517725905098658</v>
      </c>
    </row>
    <row r="89" customFormat="false" ht="12.8" hidden="false" customHeight="false" outlineLevel="0" collapsed="false">
      <c r="A89" s="4" t="s">
        <v>19</v>
      </c>
      <c r="B89" s="4" t="n">
        <v>2.7</v>
      </c>
      <c r="C89" s="4" t="n">
        <v>40</v>
      </c>
      <c r="D89" s="1" t="n">
        <v>6.89482286417133</v>
      </c>
      <c r="E89" s="4" t="n">
        <v>0</v>
      </c>
      <c r="F89" s="1" t="n">
        <v>0.85</v>
      </c>
      <c r="G89" s="4" t="n">
        <v>1E+021</v>
      </c>
      <c r="H89" s="4" t="n">
        <v>0.3</v>
      </c>
      <c r="I89" s="5" t="n">
        <v>1000000000</v>
      </c>
      <c r="J89" s="6" t="n">
        <v>1713.60554820178</v>
      </c>
      <c r="K89" s="7" t="n">
        <v>0.364205677853643</v>
      </c>
      <c r="L89" s="8" t="n">
        <v>0.140245390165837</v>
      </c>
      <c r="M89" s="7" t="n">
        <v>0.180929954356509</v>
      </c>
      <c r="N89" s="7" t="n">
        <v>-0.00195219480396247</v>
      </c>
      <c r="O89" s="1" t="n">
        <v>211.789400728744</v>
      </c>
      <c r="P89" s="1" t="n">
        <v>200.784094307291</v>
      </c>
      <c r="Q89" s="16" t="n">
        <f aca="false">ABS(K89-0.36395)/0.0012</f>
        <v>0.213064878035833</v>
      </c>
      <c r="R89" s="16" t="n">
        <f aca="false">ABS(M89-0.17355)/0.016</f>
        <v>0.461247147281811</v>
      </c>
      <c r="S89" s="17" t="n">
        <f aca="false">SQRT(Q89*Q89+R89*R89)</f>
        <v>0.508080282168117</v>
      </c>
    </row>
    <row r="90" customFormat="false" ht="12.8" hidden="false" customHeight="false" outlineLevel="0" collapsed="false">
      <c r="A90" s="4" t="s">
        <v>19</v>
      </c>
      <c r="B90" s="4" t="n">
        <v>2.7</v>
      </c>
      <c r="C90" s="4" t="n">
        <v>35</v>
      </c>
      <c r="D90" s="1" t="n">
        <v>6.89475543119665</v>
      </c>
      <c r="E90" s="4" t="n">
        <v>0</v>
      </c>
      <c r="F90" s="1" t="n">
        <v>0.85</v>
      </c>
      <c r="G90" s="4" t="n">
        <v>1E+021</v>
      </c>
      <c r="H90" s="4" t="n">
        <v>0.3</v>
      </c>
      <c r="I90" s="5" t="n">
        <v>1000000000</v>
      </c>
      <c r="J90" s="6" t="n">
        <v>1708.43578820178</v>
      </c>
      <c r="K90" s="7" t="n">
        <v>0.3645320589857</v>
      </c>
      <c r="L90" s="8" t="n">
        <v>0.13971354114668</v>
      </c>
      <c r="M90" s="7" t="n">
        <v>0.180084153676542</v>
      </c>
      <c r="N90" s="7" t="n">
        <v>-0.00194287999763379</v>
      </c>
      <c r="O90" s="1" t="n">
        <v>212.575084868056</v>
      </c>
      <c r="P90" s="1" t="n">
        <v>200.875600174342</v>
      </c>
      <c r="Q90" s="16" t="n">
        <f aca="false">ABS(K90-0.36395)/0.0012</f>
        <v>0.485049154750015</v>
      </c>
      <c r="R90" s="16" t="n">
        <f aca="false">ABS(M90-0.17355)/0.016</f>
        <v>0.408384604783875</v>
      </c>
      <c r="S90" s="17" t="n">
        <f aca="false">SQRT(Q90*Q90+R90*R90)</f>
        <v>0.634074654869745</v>
      </c>
    </row>
    <row r="91" customFormat="false" ht="12.8" hidden="false" customHeight="false" outlineLevel="0" collapsed="false">
      <c r="A91" s="4" t="s">
        <v>19</v>
      </c>
      <c r="B91" s="4" t="n">
        <v>2.8</v>
      </c>
      <c r="C91" s="4" t="n">
        <v>55</v>
      </c>
      <c r="D91" s="1" t="n">
        <v>6.89440717457288</v>
      </c>
      <c r="E91" s="4" t="n">
        <v>0</v>
      </c>
      <c r="F91" s="1" t="n">
        <v>0.85</v>
      </c>
      <c r="G91" s="4" t="n">
        <v>1E+021</v>
      </c>
      <c r="H91" s="4" t="n">
        <v>0.3</v>
      </c>
      <c r="I91" s="5" t="n">
        <v>1000000000</v>
      </c>
      <c r="J91" s="6" t="n">
        <v>1719.28406020178</v>
      </c>
      <c r="K91" s="7" t="n">
        <v>0.363862082118158</v>
      </c>
      <c r="L91" s="8" t="n">
        <v>0.140843022601835</v>
      </c>
      <c r="M91" s="7" t="n">
        <v>0.181873075581091</v>
      </c>
      <c r="N91" s="7" t="n">
        <v>-0.00195858478287928</v>
      </c>
      <c r="O91" s="1" t="n">
        <v>211.551781966588</v>
      </c>
      <c r="P91" s="1" t="n">
        <v>200.683424712217</v>
      </c>
      <c r="Q91" s="16" t="n">
        <f aca="false">ABS(K91-0.36395)/0.0012</f>
        <v>0.0732649015349844</v>
      </c>
      <c r="R91" s="16" t="n">
        <f aca="false">ABS(M91-0.17355)/0.016</f>
        <v>0.520192223818187</v>
      </c>
      <c r="S91" s="17" t="n">
        <f aca="false">SQRT(Q91*Q91+R91*R91)</f>
        <v>0.525326275297402</v>
      </c>
    </row>
    <row r="92" customFormat="false" ht="12.8" hidden="false" customHeight="false" outlineLevel="0" collapsed="false">
      <c r="A92" s="4" t="s">
        <v>19</v>
      </c>
      <c r="B92" s="4" t="n">
        <v>2.8</v>
      </c>
      <c r="C92" s="4" t="n">
        <v>50</v>
      </c>
      <c r="D92" s="1" t="n">
        <v>6.89215106709162</v>
      </c>
      <c r="E92" s="4" t="n">
        <v>0</v>
      </c>
      <c r="F92" s="1" t="n">
        <v>0.85</v>
      </c>
      <c r="G92" s="4" t="n">
        <v>1E+021</v>
      </c>
      <c r="H92" s="4" t="n">
        <v>0.3</v>
      </c>
      <c r="I92" s="5" t="n">
        <v>1000000000</v>
      </c>
      <c r="J92" s="6" t="n">
        <v>1715.13127620178</v>
      </c>
      <c r="K92" s="7" t="n">
        <v>0.364131511435152</v>
      </c>
      <c r="L92" s="8" t="n">
        <v>0.140416028214777</v>
      </c>
      <c r="M92" s="7" t="n">
        <v>0.181193095704504</v>
      </c>
      <c r="N92" s="7" t="n">
        <v>-0.00195145981989395</v>
      </c>
      <c r="O92" s="1" t="n">
        <v>212.224456802299</v>
      </c>
      <c r="P92" s="1" t="n">
        <v>200.759231912188</v>
      </c>
      <c r="Q92" s="16" t="n">
        <f aca="false">ABS(K92-0.36395)/0.0012</f>
        <v>0.151259529293328</v>
      </c>
      <c r="R92" s="16" t="n">
        <f aca="false">ABS(M92-0.17355)/0.016</f>
        <v>0.4776934815315</v>
      </c>
      <c r="S92" s="17" t="n">
        <f aca="false">SQRT(Q92*Q92+R92*R92)</f>
        <v>0.501069363960445</v>
      </c>
    </row>
    <row r="93" customFormat="false" ht="12.8" hidden="false" customHeight="false" outlineLevel="0" collapsed="false">
      <c r="A93" s="4" t="s">
        <v>19</v>
      </c>
      <c r="B93" s="4" t="n">
        <v>2.8</v>
      </c>
      <c r="C93" s="4" t="n">
        <v>45</v>
      </c>
      <c r="D93" s="1" t="n">
        <v>6.89605960143897</v>
      </c>
      <c r="E93" s="4" t="n">
        <v>0</v>
      </c>
      <c r="F93" s="1" t="n">
        <v>0.85</v>
      </c>
      <c r="G93" s="4" t="n">
        <v>1E+021</v>
      </c>
      <c r="H93" s="4" t="n">
        <v>0.3</v>
      </c>
      <c r="I93" s="5" t="n">
        <v>1000000000</v>
      </c>
      <c r="J93" s="6" t="n">
        <v>1710.63950020178</v>
      </c>
      <c r="K93" s="7" t="n">
        <v>0.364395627396242</v>
      </c>
      <c r="L93" s="8" t="n">
        <v>0.139942175441758</v>
      </c>
      <c r="M93" s="7" t="n">
        <v>0.180443695057635</v>
      </c>
      <c r="N93" s="7" t="n">
        <v>-0.00194337613751733</v>
      </c>
      <c r="O93" s="1" t="n">
        <v>212.17697303687</v>
      </c>
      <c r="P93" s="1" t="n">
        <v>200.837195320884</v>
      </c>
      <c r="Q93" s="16" t="n">
        <f aca="false">ABS(K93-0.36395)/0.0012</f>
        <v>0.37135616353499</v>
      </c>
      <c r="R93" s="16" t="n">
        <f aca="false">ABS(M93-0.17355)/0.016</f>
        <v>0.430855941102187</v>
      </c>
      <c r="S93" s="17" t="n">
        <f aca="false">SQRT(Q93*Q93+R93*R93)</f>
        <v>0.568807737446035</v>
      </c>
    </row>
    <row r="94" customFormat="false" ht="12.8" hidden="false" customHeight="false" outlineLevel="0" collapsed="false">
      <c r="A94" s="4" t="s">
        <v>19</v>
      </c>
      <c r="B94" s="4" t="n">
        <v>2.9</v>
      </c>
      <c r="C94" s="4" t="n">
        <v>65</v>
      </c>
      <c r="D94" s="1" t="n">
        <v>6.89408609082362</v>
      </c>
      <c r="E94" s="4" t="n">
        <v>0</v>
      </c>
      <c r="F94" s="1" t="n">
        <v>0.85</v>
      </c>
      <c r="G94" s="4" t="n">
        <v>1E+021</v>
      </c>
      <c r="H94" s="4" t="n">
        <v>0.3</v>
      </c>
      <c r="I94" s="5" t="n">
        <v>1000000000</v>
      </c>
      <c r="J94" s="6" t="n">
        <v>1716.40289220178</v>
      </c>
      <c r="K94" s="7" t="n">
        <v>0.364060157837343</v>
      </c>
      <c r="L94" s="8" t="n">
        <v>0.140555366562519</v>
      </c>
      <c r="M94" s="7" t="n">
        <v>0.18140679049059</v>
      </c>
      <c r="N94" s="7" t="n">
        <v>-0.00194807448804973</v>
      </c>
      <c r="O94" s="1" t="n">
        <v>211.31637150541</v>
      </c>
      <c r="P94" s="1" t="n">
        <v>200.737717891247</v>
      </c>
      <c r="Q94" s="16" t="n">
        <f aca="false">ABS(K94-0.36395)/0.0012</f>
        <v>0.0917981977858566</v>
      </c>
      <c r="R94" s="16" t="n">
        <f aca="false">ABS(M94-0.17355)/0.016</f>
        <v>0.491049405661874</v>
      </c>
      <c r="S94" s="17" t="n">
        <f aca="false">SQRT(Q94*Q94+R94*R94)</f>
        <v>0.499556230986674</v>
      </c>
    </row>
    <row r="95" customFormat="false" ht="12.8" hidden="false" customHeight="false" outlineLevel="0" collapsed="false">
      <c r="A95" s="4" t="s">
        <v>19</v>
      </c>
      <c r="B95" s="4" t="n">
        <v>2.9</v>
      </c>
      <c r="C95" s="4" t="n">
        <v>70</v>
      </c>
      <c r="D95" s="1" t="n">
        <v>6.89973881488405</v>
      </c>
      <c r="E95" s="4" t="n">
        <v>0</v>
      </c>
      <c r="F95" s="1" t="n">
        <v>0.85</v>
      </c>
      <c r="G95" s="4" t="n">
        <v>1E+021</v>
      </c>
      <c r="H95" s="4" t="n">
        <v>0.3</v>
      </c>
      <c r="I95" s="5" t="n">
        <v>1000000000</v>
      </c>
      <c r="J95" s="6" t="n">
        <v>1719.53870020178</v>
      </c>
      <c r="K95" s="7" t="n">
        <v>0.363842175231111</v>
      </c>
      <c r="L95" s="8" t="n">
        <v>0.140870292732734</v>
      </c>
      <c r="M95" s="7" t="n">
        <v>0.181910783076963</v>
      </c>
      <c r="N95" s="7" t="n">
        <v>-0.00195280290687452</v>
      </c>
      <c r="O95" s="1" t="n">
        <v>211.587209621652</v>
      </c>
      <c r="P95" s="1" t="n">
        <v>200.678795304382</v>
      </c>
      <c r="Q95" s="16" t="n">
        <f aca="false">ABS(K95-0.36395)/0.0012</f>
        <v>0.0898539740741555</v>
      </c>
      <c r="R95" s="16" t="n">
        <f aca="false">ABS(M95-0.17355)/0.016</f>
        <v>0.522548942310188</v>
      </c>
      <c r="S95" s="17" t="n">
        <f aca="false">SQRT(Q95*Q95+R95*R95)</f>
        <v>0.530218005886649</v>
      </c>
    </row>
    <row r="96" customFormat="false" ht="12.8" hidden="false" customHeight="false" outlineLevel="0" collapsed="false">
      <c r="A96" s="4" t="s">
        <v>19</v>
      </c>
      <c r="B96" s="4" t="n">
        <v>2.9</v>
      </c>
      <c r="C96" s="4" t="n">
        <v>60</v>
      </c>
      <c r="D96" s="1" t="n">
        <v>6.89418551045577</v>
      </c>
      <c r="E96" s="4" t="n">
        <v>0</v>
      </c>
      <c r="F96" s="1" t="n">
        <v>0.85</v>
      </c>
      <c r="G96" s="4" t="n">
        <v>1E+021</v>
      </c>
      <c r="H96" s="4" t="n">
        <v>0.3</v>
      </c>
      <c r="I96" s="5" t="n">
        <v>1000000000</v>
      </c>
      <c r="J96" s="6" t="n">
        <v>1712.92809220178</v>
      </c>
      <c r="K96" s="7" t="n">
        <v>0.364274663099718</v>
      </c>
      <c r="L96" s="8" t="n">
        <v>0.140192813126918</v>
      </c>
      <c r="M96" s="7" t="n">
        <v>0.180831801108028</v>
      </c>
      <c r="N96" s="7" t="n">
        <v>-0.00194239244447597</v>
      </c>
      <c r="O96" s="1" t="n">
        <v>211.777924105458</v>
      </c>
      <c r="P96" s="1" t="n">
        <v>200.799371510138</v>
      </c>
      <c r="Q96" s="16" t="n">
        <f aca="false">ABS(K96-0.36395)/0.0012</f>
        <v>0.270552583098345</v>
      </c>
      <c r="R96" s="16" t="n">
        <f aca="false">ABS(M96-0.17355)/0.016</f>
        <v>0.455112569251749</v>
      </c>
      <c r="S96" s="17" t="n">
        <f aca="false">SQRT(Q96*Q96+R96*R96)</f>
        <v>0.529458356164217</v>
      </c>
    </row>
    <row r="97" customFormat="false" ht="12.8" hidden="false" customHeight="false" outlineLevel="0" collapsed="false">
      <c r="A97" s="4" t="s">
        <v>19</v>
      </c>
      <c r="B97" s="4" t="n">
        <v>2.9</v>
      </c>
      <c r="C97" s="4" t="n">
        <v>55</v>
      </c>
      <c r="D97" s="1" t="n">
        <v>6.89496172084312</v>
      </c>
      <c r="E97" s="4" t="n">
        <v>0</v>
      </c>
      <c r="F97" s="1" t="n">
        <v>0.85</v>
      </c>
      <c r="G97" s="4" t="n">
        <v>1E+021</v>
      </c>
      <c r="H97" s="4" t="n">
        <v>0.3</v>
      </c>
      <c r="I97" s="5" t="n">
        <v>1000000000</v>
      </c>
      <c r="J97" s="6" t="n">
        <v>1709.45329220178</v>
      </c>
      <c r="K97" s="7" t="n">
        <v>0.364486664172418</v>
      </c>
      <c r="L97" s="8" t="n">
        <v>0.139831144327341</v>
      </c>
      <c r="M97" s="7" t="n">
        <v>0.180258790904436</v>
      </c>
      <c r="N97" s="7" t="n">
        <v>-0.00193666712149229</v>
      </c>
      <c r="O97" s="1" t="n">
        <v>211.590664554663</v>
      </c>
      <c r="P97" s="1" t="n">
        <v>200.860131883912</v>
      </c>
      <c r="Q97" s="16" t="n">
        <f aca="false">ABS(K97-0.36395)/0.0012</f>
        <v>0.447220143681657</v>
      </c>
      <c r="R97" s="16" t="n">
        <f aca="false">ABS(M97-0.17355)/0.016</f>
        <v>0.419299431527249</v>
      </c>
      <c r="S97" s="17" t="n">
        <f aca="false">SQRT(Q97*Q97+R97*R97)</f>
        <v>0.61303986019974</v>
      </c>
    </row>
    <row r="98" customFormat="false" ht="12.8" hidden="false" customHeight="false" outlineLevel="0" collapsed="false">
      <c r="A98" s="4" t="s">
        <v>19</v>
      </c>
      <c r="B98" s="4" t="n">
        <v>3</v>
      </c>
      <c r="C98" s="4" t="n">
        <v>72</v>
      </c>
      <c r="D98" s="1" t="n">
        <v>6.88928638481831</v>
      </c>
      <c r="E98" s="4" t="n">
        <v>0</v>
      </c>
      <c r="F98" s="1" t="n">
        <v>0.85</v>
      </c>
      <c r="G98" s="4" t="n">
        <v>1E+021</v>
      </c>
      <c r="H98" s="4" t="n">
        <v>0.3</v>
      </c>
      <c r="I98" s="5" t="n">
        <v>1000000000</v>
      </c>
      <c r="J98" s="6" t="n">
        <v>1708.72490820178</v>
      </c>
      <c r="K98" s="7" t="n">
        <v>0.364575676181297</v>
      </c>
      <c r="L98" s="8" t="n">
        <v>0.139786149974979</v>
      </c>
      <c r="M98" s="7" t="n">
        <v>0.18017037184516</v>
      </c>
      <c r="N98" s="7" t="n">
        <v>-0.00192850636561115</v>
      </c>
      <c r="O98" s="1" t="n">
        <v>212.110199861805</v>
      </c>
      <c r="P98" s="1" t="n">
        <v>200.878500354164</v>
      </c>
      <c r="Q98" s="16" t="n">
        <f aca="false">ABS(K98-0.36395)/0.0012</f>
        <v>0.521396817747498</v>
      </c>
      <c r="R98" s="16" t="n">
        <f aca="false">ABS(M98-0.17355)/0.016</f>
        <v>0.413773240322499</v>
      </c>
      <c r="S98" s="17" t="n">
        <f aca="false">SQRT(Q98*Q98+R98*R98)</f>
        <v>0.665629728876496</v>
      </c>
    </row>
    <row r="99" customFormat="false" ht="12.8" hidden="false" customHeight="false" outlineLevel="0" collapsed="false">
      <c r="A99" s="4" t="s">
        <v>19</v>
      </c>
      <c r="B99" s="4" t="n">
        <v>2.7</v>
      </c>
      <c r="C99" s="4" t="n">
        <v>45</v>
      </c>
      <c r="D99" s="1" t="n">
        <v>7.04205785442325</v>
      </c>
      <c r="E99" s="4" t="n">
        <v>0</v>
      </c>
      <c r="F99" s="1" t="n">
        <v>0.75</v>
      </c>
      <c r="G99" s="4" t="n">
        <v>1E+021</v>
      </c>
      <c r="H99" s="4" t="n">
        <v>0.3</v>
      </c>
      <c r="I99" s="5" t="n">
        <v>1000000000</v>
      </c>
      <c r="J99" s="6" t="n">
        <v>1683.18114820178</v>
      </c>
      <c r="K99" s="7" t="n">
        <v>0.36359092462745</v>
      </c>
      <c r="L99" s="8" t="n">
        <v>0.135615194719746</v>
      </c>
      <c r="M99" s="7" t="n">
        <v>0.174121523866665</v>
      </c>
      <c r="N99" s="7" t="n">
        <v>-0.00185659450234654</v>
      </c>
      <c r="O99" s="1" t="n">
        <v>211.79440737392</v>
      </c>
      <c r="P99" s="1" t="n">
        <v>200.768536321849</v>
      </c>
      <c r="Q99" s="16" t="n">
        <f aca="false">ABS(K99-0.36395)/0.0012</f>
        <v>0.299229477124981</v>
      </c>
      <c r="R99" s="16" t="n">
        <f aca="false">ABS(M99-0.17355)/0.016</f>
        <v>0.0357202416665613</v>
      </c>
      <c r="S99" s="17" t="n">
        <f aca="false">SQRT(Q99*Q99+R99*R99)</f>
        <v>0.301353970681004</v>
      </c>
    </row>
    <row r="100" customFormat="false" ht="12.8" hidden="false" customHeight="false" outlineLevel="0" collapsed="false">
      <c r="A100" s="4" t="s">
        <v>19</v>
      </c>
      <c r="B100" s="4" t="n">
        <v>2.7</v>
      </c>
      <c r="C100" s="4" t="n">
        <v>40</v>
      </c>
      <c r="D100" s="1" t="n">
        <v>7.03848454588144</v>
      </c>
      <c r="E100" s="4" t="n">
        <v>0</v>
      </c>
      <c r="F100" s="1" t="n">
        <v>0.75</v>
      </c>
      <c r="G100" s="4" t="n">
        <v>1E+021</v>
      </c>
      <c r="H100" s="4" t="n">
        <v>0.3</v>
      </c>
      <c r="I100" s="5" t="n">
        <v>1000000000</v>
      </c>
      <c r="J100" s="6" t="n">
        <v>1678.35038020178</v>
      </c>
      <c r="K100" s="7" t="n">
        <v>0.363922889295286</v>
      </c>
      <c r="L100" s="8" t="n">
        <v>0.135164915625839</v>
      </c>
      <c r="M100" s="7" t="n">
        <v>0.173397378615695</v>
      </c>
      <c r="N100" s="7" t="n">
        <v>-0.0018491959299359</v>
      </c>
      <c r="O100" s="1" t="n">
        <v>210.366263532169</v>
      </c>
      <c r="P100" s="1" t="n">
        <v>200.854249111927</v>
      </c>
      <c r="Q100" s="16" t="n">
        <f aca="false">ABS(K100-0.36395)/0.0012</f>
        <v>0.0225922539283385</v>
      </c>
      <c r="R100" s="16" t="n">
        <f aca="false">ABS(M100-0.17355)/0.016</f>
        <v>0.00953883651906226</v>
      </c>
      <c r="S100" s="17" t="n">
        <f aca="false">SQRT(Q100*Q100+R100*R100)</f>
        <v>0.0245234446948206</v>
      </c>
    </row>
    <row r="101" customFormat="false" ht="12.8" hidden="false" customHeight="false" outlineLevel="0" collapsed="false">
      <c r="A101" s="4" t="s">
        <v>19</v>
      </c>
      <c r="B101" s="4" t="n">
        <v>2.7</v>
      </c>
      <c r="C101" s="4" t="n">
        <v>35</v>
      </c>
      <c r="D101" s="1" t="n">
        <v>7.03436547906192</v>
      </c>
      <c r="E101" s="4" t="n">
        <v>0</v>
      </c>
      <c r="F101" s="1" t="n">
        <v>0.75</v>
      </c>
      <c r="G101" s="4" t="n">
        <v>1E+021</v>
      </c>
      <c r="H101" s="4" t="n">
        <v>0.3</v>
      </c>
      <c r="I101" s="5" t="n">
        <v>1000000000</v>
      </c>
      <c r="J101" s="6" t="n">
        <v>1673.51961220179</v>
      </c>
      <c r="K101" s="7" t="n">
        <v>0.364257523563601</v>
      </c>
      <c r="L101" s="8" t="n">
        <v>0.134719284438913</v>
      </c>
      <c r="M101" s="7" t="n">
        <v>0.172679925831593</v>
      </c>
      <c r="N101" s="7" t="n">
        <v>-0.00184188439000543</v>
      </c>
      <c r="O101" s="1" t="n">
        <v>211.203639368955</v>
      </c>
      <c r="P101" s="1" t="n">
        <v>200.938896013912</v>
      </c>
      <c r="Q101" s="16" t="n">
        <f aca="false">ABS(K101-0.36395)/0.0012</f>
        <v>0.256269636334193</v>
      </c>
      <c r="R101" s="16" t="n">
        <f aca="false">ABS(M101-0.17355)/0.016</f>
        <v>0.0543796355254381</v>
      </c>
      <c r="S101" s="17" t="n">
        <f aca="false">SQRT(Q101*Q101+R101*R101)</f>
        <v>0.261975707398107</v>
      </c>
    </row>
    <row r="102" customFormat="false" ht="12.8" hidden="false" customHeight="false" outlineLevel="0" collapsed="false">
      <c r="A102" s="4" t="s">
        <v>19</v>
      </c>
      <c r="B102" s="4" t="n">
        <v>2.7</v>
      </c>
      <c r="C102" s="4" t="n">
        <v>30</v>
      </c>
      <c r="D102" s="1" t="n">
        <v>7.02997750946074</v>
      </c>
      <c r="E102" s="4" t="n">
        <v>0</v>
      </c>
      <c r="F102" s="1" t="n">
        <v>0.75</v>
      </c>
      <c r="G102" s="4" t="n">
        <v>1E+021</v>
      </c>
      <c r="H102" s="4" t="n">
        <v>0.3</v>
      </c>
      <c r="I102" s="5" t="n">
        <v>1000000000</v>
      </c>
      <c r="J102" s="6" t="n">
        <v>1668.68884420179</v>
      </c>
      <c r="K102" s="7" t="n">
        <v>0.364593666896809</v>
      </c>
      <c r="L102" s="8" t="n">
        <v>0.13427786806944</v>
      </c>
      <c r="M102" s="7" t="n">
        <v>0.171968659479491</v>
      </c>
      <c r="N102" s="7" t="n">
        <v>-0.00183468158622852</v>
      </c>
      <c r="O102" s="1" t="n">
        <v>210.409831337115</v>
      </c>
      <c r="P102" s="1" t="n">
        <v>201.022413649878</v>
      </c>
      <c r="Q102" s="16" t="n">
        <f aca="false">ABS(K102-0.36395)/0.0012</f>
        <v>0.536389080674169</v>
      </c>
      <c r="R102" s="16" t="n">
        <f aca="false">ABS(M102-0.17355)/0.016</f>
        <v>0.0988337825318132</v>
      </c>
      <c r="S102" s="17" t="n">
        <f aca="false">SQRT(Q102*Q102+R102*R102)</f>
        <v>0.545418520437312</v>
      </c>
    </row>
    <row r="103" customFormat="false" ht="12.8" hidden="false" customHeight="false" outlineLevel="0" collapsed="false">
      <c r="A103" s="4" t="s">
        <v>19</v>
      </c>
      <c r="B103" s="4" t="n">
        <v>2.8</v>
      </c>
      <c r="C103" s="4" t="n">
        <v>55</v>
      </c>
      <c r="D103" s="1" t="n">
        <v>7.04188138987936</v>
      </c>
      <c r="E103" s="4" t="n">
        <v>0</v>
      </c>
      <c r="F103" s="1" t="n">
        <v>0.75</v>
      </c>
      <c r="G103" s="4" t="n">
        <v>1E+021</v>
      </c>
      <c r="H103" s="4" t="n">
        <v>0.3</v>
      </c>
      <c r="I103" s="5" t="n">
        <v>1000000000</v>
      </c>
      <c r="J103" s="6" t="n">
        <v>1683.68990020178</v>
      </c>
      <c r="K103" s="7" t="n">
        <v>0.363570747847999</v>
      </c>
      <c r="L103" s="8" t="n">
        <v>0.13567098762353</v>
      </c>
      <c r="M103" s="7" t="n">
        <v>0.174205005529533</v>
      </c>
      <c r="N103" s="7" t="n">
        <v>-0.0018534158472564</v>
      </c>
      <c r="O103" s="1" t="n">
        <v>211.569947493086</v>
      </c>
      <c r="P103" s="1" t="n">
        <v>200.760943906175</v>
      </c>
      <c r="Q103" s="16" t="n">
        <f aca="false">ABS(K103-0.36395)/0.0012</f>
        <v>0.31604346000085</v>
      </c>
      <c r="R103" s="16" t="n">
        <f aca="false">ABS(M103-0.17355)/0.016</f>
        <v>0.0409378455958117</v>
      </c>
      <c r="S103" s="17" t="n">
        <f aca="false">SQRT(Q103*Q103+R103*R103)</f>
        <v>0.318683817931402</v>
      </c>
    </row>
    <row r="104" customFormat="false" ht="12.8" hidden="false" customHeight="false" outlineLevel="0" collapsed="false">
      <c r="A104" s="4" t="s">
        <v>19</v>
      </c>
      <c r="B104" s="4" t="n">
        <v>2.8</v>
      </c>
      <c r="C104" s="4" t="n">
        <v>50</v>
      </c>
      <c r="D104" s="1" t="n">
        <v>7.04165109705153</v>
      </c>
      <c r="E104" s="4" t="n">
        <v>0</v>
      </c>
      <c r="F104" s="1" t="n">
        <v>0.75</v>
      </c>
      <c r="G104" s="4" t="n">
        <v>1E+021</v>
      </c>
      <c r="H104" s="4" t="n">
        <v>0.3</v>
      </c>
      <c r="I104" s="5" t="n">
        <v>1000000000</v>
      </c>
      <c r="J104" s="6" t="n">
        <v>1679.53711620178</v>
      </c>
      <c r="K104" s="7" t="n">
        <v>0.363841594084495</v>
      </c>
      <c r="L104" s="8" t="n">
        <v>0.135275795657923</v>
      </c>
      <c r="M104" s="7" t="n">
        <v>0.173572735409962</v>
      </c>
      <c r="N104" s="7" t="n">
        <v>-0.00184713253196217</v>
      </c>
      <c r="O104" s="1" t="n">
        <v>211.840418714291</v>
      </c>
      <c r="P104" s="1" t="n">
        <v>200.833369607898</v>
      </c>
      <c r="Q104" s="16" t="n">
        <f aca="false">ABS(K104-0.36395)/0.0012</f>
        <v>0.0903382629208194</v>
      </c>
      <c r="R104" s="16" t="n">
        <f aca="false">ABS(M104-0.17355)/0.016</f>
        <v>0.00142096312262356</v>
      </c>
      <c r="S104" s="17" t="n">
        <f aca="false">SQRT(Q104*Q104+R104*R104)</f>
        <v>0.090349437650419</v>
      </c>
    </row>
    <row r="105" customFormat="false" ht="12.8" hidden="false" customHeight="false" outlineLevel="0" collapsed="false">
      <c r="A105" s="4" t="s">
        <v>19</v>
      </c>
      <c r="B105" s="4" t="n">
        <v>2.8</v>
      </c>
      <c r="C105" s="4" t="n">
        <v>45</v>
      </c>
      <c r="D105" s="1" t="n">
        <v>7.03459145451777</v>
      </c>
      <c r="E105" s="4" t="n">
        <v>0</v>
      </c>
      <c r="F105" s="1" t="n">
        <v>0.75</v>
      </c>
      <c r="G105" s="4" t="n">
        <v>1E+021</v>
      </c>
      <c r="H105" s="4" t="n">
        <v>0.3</v>
      </c>
      <c r="I105" s="5" t="n">
        <v>1000000000</v>
      </c>
      <c r="J105" s="6" t="n">
        <v>1675.72332420178</v>
      </c>
      <c r="K105" s="7" t="n">
        <v>0.364120395004697</v>
      </c>
      <c r="L105" s="8" t="n">
        <v>0.134931203284336</v>
      </c>
      <c r="M105" s="7" t="n">
        <v>0.173015330523253</v>
      </c>
      <c r="N105" s="7" t="n">
        <v>-0.00184185472852977</v>
      </c>
      <c r="O105" s="1" t="n">
        <v>212.069768818648</v>
      </c>
      <c r="P105" s="1" t="n">
        <v>200.902134428487</v>
      </c>
      <c r="Q105" s="16" t="n">
        <f aca="false">ABS(K105-0.36395)/0.0012</f>
        <v>0.141995837247509</v>
      </c>
      <c r="R105" s="16" t="n">
        <f aca="false">ABS(M105-0.17355)/0.016</f>
        <v>0.0334168422966887</v>
      </c>
      <c r="S105" s="17" t="n">
        <f aca="false">SQRT(Q105*Q105+R105*R105)</f>
        <v>0.145874957222625</v>
      </c>
    </row>
    <row r="106" customFormat="false" ht="12.8" hidden="false" customHeight="false" outlineLevel="0" collapsed="false">
      <c r="A106" s="4" t="s">
        <v>19</v>
      </c>
      <c r="B106" s="4" t="n">
        <v>2.8</v>
      </c>
      <c r="C106" s="4" t="n">
        <v>40</v>
      </c>
      <c r="D106" s="1" t="n">
        <v>7.03390669906557</v>
      </c>
      <c r="E106" s="4" t="n">
        <v>0</v>
      </c>
      <c r="F106" s="1" t="n">
        <v>0.75</v>
      </c>
      <c r="G106" s="4" t="n">
        <v>1E+021</v>
      </c>
      <c r="H106" s="4" t="n">
        <v>0.3</v>
      </c>
      <c r="I106" s="5" t="n">
        <v>1000000000</v>
      </c>
      <c r="J106" s="6" t="n">
        <v>1671.57054020179</v>
      </c>
      <c r="K106" s="7" t="n">
        <v>0.364394012668194</v>
      </c>
      <c r="L106" s="8" t="n">
        <v>0.13454217284077</v>
      </c>
      <c r="M106" s="7" t="n">
        <v>0.172392068407182</v>
      </c>
      <c r="N106" s="7" t="n">
        <v>-0.00183570012713319</v>
      </c>
      <c r="O106" s="1" t="n">
        <v>211.179836150551</v>
      </c>
      <c r="P106" s="1" t="n">
        <v>200.972968558115</v>
      </c>
      <c r="Q106" s="16" t="n">
        <f aca="false">ABS(K106-0.36395)/0.0012</f>
        <v>0.370010556828328</v>
      </c>
      <c r="R106" s="16" t="n">
        <f aca="false">ABS(M106-0.17355)/0.016</f>
        <v>0.0723707245511261</v>
      </c>
      <c r="S106" s="17" t="n">
        <f aca="false">SQRT(Q106*Q106+R106*R106)</f>
        <v>0.377021662423347</v>
      </c>
    </row>
    <row r="107" customFormat="false" ht="12.8" hidden="false" customHeight="false" outlineLevel="0" collapsed="false">
      <c r="A107" s="4" t="s">
        <v>19</v>
      </c>
      <c r="B107" s="4" t="n">
        <v>2.9</v>
      </c>
      <c r="C107" s="4" t="n">
        <v>70</v>
      </c>
      <c r="D107" s="1" t="n">
        <v>7.04046332206497</v>
      </c>
      <c r="E107" s="4" t="n">
        <v>0</v>
      </c>
      <c r="F107" s="1" t="n">
        <v>0.75</v>
      </c>
      <c r="G107" s="4" t="n">
        <v>1E+021</v>
      </c>
      <c r="H107" s="4" t="n">
        <v>0.3</v>
      </c>
      <c r="I107" s="5" t="n">
        <v>1000000000</v>
      </c>
      <c r="J107" s="6" t="n">
        <v>1684.28353220178</v>
      </c>
      <c r="K107" s="7" t="n">
        <v>0.363557470893185</v>
      </c>
      <c r="L107" s="8" t="n">
        <v>0.135743700830817</v>
      </c>
      <c r="M107" s="7" t="n">
        <v>0.174310982939412</v>
      </c>
      <c r="N107" s="7" t="n">
        <v>-0.00184870847800916</v>
      </c>
      <c r="O107" s="1" t="n">
        <v>211.120044538401</v>
      </c>
      <c r="P107" s="1" t="n">
        <v>200.753461879989</v>
      </c>
      <c r="Q107" s="16" t="n">
        <f aca="false">ABS(K107-0.36395)/0.0012</f>
        <v>0.32710758901248</v>
      </c>
      <c r="R107" s="16" t="n">
        <f aca="false">ABS(M107-0.17355)/0.016</f>
        <v>0.0475614337132491</v>
      </c>
      <c r="S107" s="17" t="n">
        <f aca="false">SQRT(Q107*Q107+R107*R107)</f>
        <v>0.330547220176509</v>
      </c>
    </row>
    <row r="108" customFormat="false" ht="12.8" hidden="false" customHeight="false" outlineLevel="0" collapsed="false">
      <c r="A108" s="4" t="s">
        <v>19</v>
      </c>
      <c r="B108" s="4" t="n">
        <v>2.9</v>
      </c>
      <c r="C108" s="4" t="n">
        <v>65</v>
      </c>
      <c r="D108" s="1" t="n">
        <v>7.04296351448042</v>
      </c>
      <c r="E108" s="4" t="n">
        <v>0</v>
      </c>
      <c r="F108" s="1" t="n">
        <v>0.75</v>
      </c>
      <c r="G108" s="4" t="n">
        <v>1E+021</v>
      </c>
      <c r="H108" s="4" t="n">
        <v>0.3</v>
      </c>
      <c r="I108" s="5" t="n">
        <v>1000000000</v>
      </c>
      <c r="J108" s="6" t="n">
        <v>1680.80873220178</v>
      </c>
      <c r="K108" s="7" t="n">
        <v>0.363769817615107</v>
      </c>
      <c r="L108" s="8" t="n">
        <v>0.135404703288615</v>
      </c>
      <c r="M108" s="7" t="n">
        <v>0.173771817946056</v>
      </c>
      <c r="N108" s="7" t="n">
        <v>-0.00184360538343589</v>
      </c>
      <c r="O108" s="1" t="n">
        <v>211.879207016256</v>
      </c>
      <c r="P108" s="1" t="n">
        <v>200.812748295141</v>
      </c>
      <c r="Q108" s="16" t="n">
        <f aca="false">ABS(K108-0.36395)/0.0012</f>
        <v>0.150151987410816</v>
      </c>
      <c r="R108" s="16" t="n">
        <f aca="false">ABS(M108-0.17355)/0.016</f>
        <v>0.0138636216284998</v>
      </c>
      <c r="S108" s="17" t="n">
        <f aca="false">SQRT(Q108*Q108+R108*R108)</f>
        <v>0.150790647349483</v>
      </c>
    </row>
    <row r="109" customFormat="false" ht="12.8" hidden="false" customHeight="false" outlineLevel="0" collapsed="false">
      <c r="A109" s="4" t="s">
        <v>19</v>
      </c>
      <c r="B109" s="4" t="n">
        <v>2.9</v>
      </c>
      <c r="C109" s="4" t="n">
        <v>60</v>
      </c>
      <c r="D109" s="1" t="n">
        <v>7.03816026367442</v>
      </c>
      <c r="E109" s="4" t="n">
        <v>0</v>
      </c>
      <c r="F109" s="1" t="n">
        <v>0.75</v>
      </c>
      <c r="G109" s="4" t="n">
        <v>1E+021</v>
      </c>
      <c r="H109" s="4" t="n">
        <v>0.3</v>
      </c>
      <c r="I109" s="5" t="n">
        <v>1000000000</v>
      </c>
      <c r="J109" s="6" t="n">
        <v>1677.67292420178</v>
      </c>
      <c r="K109" s="7" t="n">
        <v>0.363992114514722</v>
      </c>
      <c r="L109" s="8" t="n">
        <v>0.135116413756781</v>
      </c>
      <c r="M109" s="7" t="n">
        <v>0.173307228812595</v>
      </c>
      <c r="N109" s="7" t="n">
        <v>-0.00183955163290978</v>
      </c>
      <c r="O109" s="1" t="n">
        <v>211.144735598781</v>
      </c>
      <c r="P109" s="1" t="n">
        <v>200.868780918964</v>
      </c>
      <c r="Q109" s="16" t="n">
        <f aca="false">ABS(K109-0.36395)/0.0012</f>
        <v>0.0350954289350206</v>
      </c>
      <c r="R109" s="16" t="n">
        <f aca="false">ABS(M109-0.17355)/0.016</f>
        <v>0.0151731992128132</v>
      </c>
      <c r="S109" s="17" t="n">
        <f aca="false">SQRT(Q109*Q109+R109*R109)</f>
        <v>0.0382349984501739</v>
      </c>
    </row>
    <row r="110" customFormat="false" ht="12.8" hidden="false" customHeight="false" outlineLevel="0" collapsed="false">
      <c r="A110" s="4" t="s">
        <v>19</v>
      </c>
      <c r="B110" s="4" t="n">
        <v>2.9</v>
      </c>
      <c r="C110" s="4" t="n">
        <v>55</v>
      </c>
      <c r="D110" s="1" t="n">
        <v>7.03406404121714</v>
      </c>
      <c r="E110" s="4" t="n">
        <v>0</v>
      </c>
      <c r="F110" s="1" t="n">
        <v>0.75</v>
      </c>
      <c r="G110" s="4" t="n">
        <v>1E+021</v>
      </c>
      <c r="H110" s="4" t="n">
        <v>0.3</v>
      </c>
      <c r="I110" s="5" t="n">
        <v>1000000000</v>
      </c>
      <c r="J110" s="6" t="n">
        <v>1674.53711620178</v>
      </c>
      <c r="K110" s="7" t="n">
        <v>0.364211815579015</v>
      </c>
      <c r="L110" s="8" t="n">
        <v>0.134828445352138</v>
      </c>
      <c r="M110" s="7" t="n">
        <v>0.172843785110261</v>
      </c>
      <c r="N110" s="7" t="n">
        <v>-0.00183541024139741</v>
      </c>
      <c r="O110" s="1" t="n">
        <v>211.194106590146</v>
      </c>
      <c r="P110" s="1" t="n">
        <v>200.924040909181</v>
      </c>
      <c r="Q110" s="16" t="n">
        <f aca="false">ABS(K110-0.36395)/0.0012</f>
        <v>0.218179649179168</v>
      </c>
      <c r="R110" s="16" t="n">
        <f aca="false">ABS(M110-0.17355)/0.016</f>
        <v>0.0441384306086885</v>
      </c>
      <c r="S110" s="17" t="n">
        <f aca="false">SQRT(Q110*Q110+R110*R110)</f>
        <v>0.222599551600049</v>
      </c>
    </row>
    <row r="111" customFormat="false" ht="12.8" hidden="false" customHeight="false" outlineLevel="0" collapsed="false">
      <c r="A111" s="4" t="s">
        <v>19</v>
      </c>
      <c r="B111" s="4" t="n">
        <v>2.9</v>
      </c>
      <c r="C111" s="4" t="n">
        <v>50</v>
      </c>
      <c r="D111" s="1" t="n">
        <v>7.03657662095286</v>
      </c>
      <c r="E111" s="4" t="n">
        <v>0</v>
      </c>
      <c r="F111" s="1" t="n">
        <v>0.75</v>
      </c>
      <c r="G111" s="4" t="n">
        <v>1E+021</v>
      </c>
      <c r="H111" s="4" t="n">
        <v>0.3</v>
      </c>
      <c r="I111" s="5" t="n">
        <v>1000000000</v>
      </c>
      <c r="J111" s="6" t="n">
        <v>1671.06231620178</v>
      </c>
      <c r="K111" s="7" t="n">
        <v>0.364425312818601</v>
      </c>
      <c r="L111" s="8" t="n">
        <v>0.134494954496184</v>
      </c>
      <c r="M111" s="7" t="n">
        <v>0.172312975195926</v>
      </c>
      <c r="N111" s="7" t="n">
        <v>-0.00183040202445942</v>
      </c>
      <c r="O111" s="1" t="n">
        <v>211.168214619519</v>
      </c>
      <c r="P111" s="1" t="n">
        <v>200.981546134237</v>
      </c>
      <c r="Q111" s="16" t="n">
        <f aca="false">ABS(K111-0.36395)/0.0012</f>
        <v>0.396094015500855</v>
      </c>
      <c r="R111" s="16" t="n">
        <f aca="false">ABS(M111-0.17355)/0.016</f>
        <v>0.0773140502546253</v>
      </c>
      <c r="S111" s="17" t="n">
        <f aca="false">SQRT(Q111*Q111+R111*R111)</f>
        <v>0.403568992221115</v>
      </c>
    </row>
    <row r="112" customFormat="false" ht="12.8" hidden="false" customHeight="false" outlineLevel="0" collapsed="false">
      <c r="A112" s="4" t="s">
        <v>19</v>
      </c>
      <c r="B112" s="4" t="n">
        <v>3</v>
      </c>
      <c r="C112" s="4" t="n">
        <v>70</v>
      </c>
      <c r="D112" s="1" t="n">
        <v>7.03587633715216</v>
      </c>
      <c r="E112" s="4" t="n">
        <v>0</v>
      </c>
      <c r="F112" s="1" t="n">
        <v>0.75</v>
      </c>
      <c r="G112" s="4" t="n">
        <v>1E+021</v>
      </c>
      <c r="H112" s="4" t="n">
        <v>0.3</v>
      </c>
      <c r="I112" s="5" t="n">
        <v>1000000000</v>
      </c>
      <c r="J112" s="6" t="n">
        <v>1672.41881220178</v>
      </c>
      <c r="K112" s="7" t="n">
        <v>0.364358644046752</v>
      </c>
      <c r="L112" s="8" t="n">
        <v>0.13463884502035</v>
      </c>
      <c r="M112" s="7" t="n">
        <v>0.172531443430979</v>
      </c>
      <c r="N112" s="7" t="n">
        <v>-0.00182535428392361</v>
      </c>
      <c r="O112" s="1" t="n">
        <v>211.150736905597</v>
      </c>
      <c r="P112" s="1" t="n">
        <v>200.961674864229</v>
      </c>
      <c r="Q112" s="16" t="n">
        <f aca="false">ABS(K112-0.36395)/0.0012</f>
        <v>0.340536705626671</v>
      </c>
      <c r="R112" s="16" t="n">
        <f aca="false">ABS(M112-0.17355)/0.016</f>
        <v>0.0636597855638126</v>
      </c>
      <c r="S112" s="17" t="n">
        <f aca="false">SQRT(Q112*Q112+R112*R112)</f>
        <v>0.346435875995972</v>
      </c>
    </row>
    <row r="113" customFormat="false" ht="12.8" hidden="false" customHeight="false" outlineLevel="0" collapsed="false">
      <c r="A113" s="4" t="s">
        <v>19</v>
      </c>
      <c r="B113" s="4" t="n">
        <v>3</v>
      </c>
      <c r="C113" s="4" t="n">
        <v>65</v>
      </c>
      <c r="D113" s="1" t="n">
        <v>7.03427083171287</v>
      </c>
      <c r="E113" s="4" t="n">
        <v>0</v>
      </c>
      <c r="F113" s="1" t="n">
        <v>0.75</v>
      </c>
      <c r="G113" s="4" t="n">
        <v>1E+021</v>
      </c>
      <c r="H113" s="4" t="n">
        <v>0.3</v>
      </c>
      <c r="I113" s="5" t="n">
        <v>1000000000</v>
      </c>
      <c r="J113" s="6" t="n">
        <v>1669.96098820178</v>
      </c>
      <c r="K113" s="7" t="n">
        <v>0.364521943040905</v>
      </c>
      <c r="L113" s="8" t="n">
        <v>0.134409550610397</v>
      </c>
      <c r="M113" s="7" t="n">
        <v>0.172164569093504</v>
      </c>
      <c r="N113" s="7" t="n">
        <v>-0.00182248460103032</v>
      </c>
      <c r="O113" s="1" t="n">
        <v>211.73428438782</v>
      </c>
      <c r="P113" s="1" t="n">
        <v>201.003312078616</v>
      </c>
      <c r="Q113" s="16" t="n">
        <f aca="false">ABS(K113-0.36395)/0.0012</f>
        <v>0.476619200754184</v>
      </c>
      <c r="R113" s="16" t="n">
        <f aca="false">ABS(M113-0.17355)/0.016</f>
        <v>0.0865894316560006</v>
      </c>
      <c r="S113" s="17" t="n">
        <f aca="false">SQRT(Q113*Q113+R113*R113)</f>
        <v>0.484420883325715</v>
      </c>
    </row>
    <row r="114" customFormat="false" ht="12.8" hidden="false" customHeight="false" outlineLevel="0" collapsed="false">
      <c r="A114" s="4" t="s">
        <v>19</v>
      </c>
      <c r="B114" s="4" t="n">
        <v>2.7</v>
      </c>
      <c r="C114" s="4" t="n">
        <v>45</v>
      </c>
      <c r="D114" s="1" t="n">
        <v>7.11870529235283</v>
      </c>
      <c r="E114" s="4" t="n">
        <v>0</v>
      </c>
      <c r="F114" s="1" t="n">
        <v>0.7</v>
      </c>
      <c r="G114" s="4" t="n">
        <v>1E+021</v>
      </c>
      <c r="H114" s="4" t="n">
        <v>0.3</v>
      </c>
      <c r="I114" s="5" t="n">
        <v>1000000000</v>
      </c>
      <c r="J114" s="6" t="n">
        <v>1665.21457220179</v>
      </c>
      <c r="K114" s="7" t="n">
        <v>0.363447711131874</v>
      </c>
      <c r="L114" s="8" t="n">
        <v>0.133125719765073</v>
      </c>
      <c r="M114" s="7" t="n">
        <v>0.170433219491945</v>
      </c>
      <c r="N114" s="7" t="n">
        <v>-0.00180723731895152</v>
      </c>
      <c r="O114" s="1" t="n">
        <v>210.012473464608</v>
      </c>
      <c r="P114" s="1" t="n">
        <v>200.80125407917</v>
      </c>
      <c r="Q114" s="16" t="n">
        <f aca="false">ABS(K114-0.36395)/0.0012</f>
        <v>0.418574056771648</v>
      </c>
      <c r="R114" s="16" t="n">
        <f aca="false">ABS(M114-0.17355)/0.016</f>
        <v>0.194798781753438</v>
      </c>
      <c r="S114" s="17" t="n">
        <f aca="false">SQRT(Q114*Q114+R114*R114)</f>
        <v>0.461682581840487</v>
      </c>
    </row>
    <row r="115" customFormat="false" ht="12.8" hidden="false" customHeight="false" outlineLevel="0" collapsed="false">
      <c r="A115" s="4" t="s">
        <v>19</v>
      </c>
      <c r="B115" s="4" t="n">
        <v>2.7</v>
      </c>
      <c r="C115" s="4" t="n">
        <v>40</v>
      </c>
      <c r="D115" s="1" t="n">
        <v>7.11638580235176</v>
      </c>
      <c r="E115" s="4" t="n">
        <v>0</v>
      </c>
      <c r="F115" s="1" t="n">
        <v>0.7</v>
      </c>
      <c r="G115" s="4" t="n">
        <v>1E+021</v>
      </c>
      <c r="H115" s="4" t="n">
        <v>0.3</v>
      </c>
      <c r="I115" s="5" t="n">
        <v>1000000000</v>
      </c>
      <c r="J115" s="6" t="n">
        <v>1660.38380420179</v>
      </c>
      <c r="K115" s="7" t="n">
        <v>0.363780494743204</v>
      </c>
      <c r="L115" s="8" t="n">
        <v>0.13269323493063</v>
      </c>
      <c r="M115" s="7" t="n">
        <v>0.169735471537565</v>
      </c>
      <c r="N115" s="7" t="n">
        <v>-0.00180029959516176</v>
      </c>
      <c r="O115" s="1" t="n">
        <v>210.836814623262</v>
      </c>
      <c r="P115" s="1" t="n">
        <v>200.885066299617</v>
      </c>
      <c r="Q115" s="16" t="n">
        <f aca="false">ABS(K115-0.36395)/0.0012</f>
        <v>0.141254380663323</v>
      </c>
      <c r="R115" s="16" t="n">
        <f aca="false">ABS(M115-0.17355)/0.016</f>
        <v>0.238408028902189</v>
      </c>
      <c r="S115" s="17" t="n">
        <f aca="false">SQRT(Q115*Q115+R115*R115)</f>
        <v>0.277112230516096</v>
      </c>
    </row>
    <row r="116" customFormat="false" ht="12.8" hidden="false" customHeight="false" outlineLevel="0" collapsed="false">
      <c r="A116" s="4" t="s">
        <v>19</v>
      </c>
      <c r="B116" s="4" t="n">
        <v>2.7</v>
      </c>
      <c r="C116" s="4" t="n">
        <v>35</v>
      </c>
      <c r="D116" s="1" t="n">
        <v>7.11349261975651</v>
      </c>
      <c r="E116" s="4" t="n">
        <v>0</v>
      </c>
      <c r="F116" s="1" t="n">
        <v>0.7</v>
      </c>
      <c r="G116" s="4" t="n">
        <v>1E+021</v>
      </c>
      <c r="H116" s="4" t="n">
        <v>0.3</v>
      </c>
      <c r="I116" s="5" t="n">
        <v>1000000000</v>
      </c>
      <c r="J116" s="6" t="n">
        <v>1655.55303620179</v>
      </c>
      <c r="K116" s="7" t="n">
        <v>0.364115962793174</v>
      </c>
      <c r="L116" s="8" t="n">
        <v>0.132265286126827</v>
      </c>
      <c r="M116" s="7" t="n">
        <v>0.169044232143925</v>
      </c>
      <c r="N116" s="7" t="n">
        <v>-0.00179343970348694</v>
      </c>
      <c r="O116" s="1" t="n">
        <v>210.888120377102</v>
      </c>
      <c r="P116" s="1" t="n">
        <v>200.967826602579</v>
      </c>
      <c r="Q116" s="16" t="n">
        <f aca="false">ABS(K116-0.36395)/0.0012</f>
        <v>0.138302327644992</v>
      </c>
      <c r="R116" s="16" t="n">
        <f aca="false">ABS(M116-0.17355)/0.016</f>
        <v>0.281610491004688</v>
      </c>
      <c r="S116" s="17" t="n">
        <f aca="false">SQRT(Q116*Q116+R116*R116)</f>
        <v>0.313738748763879</v>
      </c>
    </row>
    <row r="117" customFormat="false" ht="12.8" hidden="false" customHeight="false" outlineLevel="0" collapsed="false">
      <c r="A117" s="4" t="s">
        <v>19</v>
      </c>
      <c r="B117" s="4" t="n">
        <v>2.7</v>
      </c>
      <c r="C117" s="4" t="n">
        <v>30</v>
      </c>
      <c r="D117" s="1" t="n">
        <v>7.11030021910385</v>
      </c>
      <c r="E117" s="4" t="n">
        <v>0</v>
      </c>
      <c r="F117" s="1" t="n">
        <v>0.7</v>
      </c>
      <c r="G117" s="4" t="n">
        <v>1E+021</v>
      </c>
      <c r="H117" s="4" t="n">
        <v>0.3</v>
      </c>
      <c r="I117" s="5" t="n">
        <v>1000000000</v>
      </c>
      <c r="J117" s="6" t="n">
        <v>1650.72226820179</v>
      </c>
      <c r="K117" s="7" t="n">
        <v>0.364452957152579</v>
      </c>
      <c r="L117" s="8" t="n">
        <v>0.131841460003111</v>
      </c>
      <c r="M117" s="7" t="n">
        <v>0.168358994005486</v>
      </c>
      <c r="N117" s="7" t="n">
        <v>-0.00178668585295444</v>
      </c>
      <c r="O117" s="1" t="n">
        <v>210.910238236274</v>
      </c>
      <c r="P117" s="1" t="n">
        <v>201.049473431437</v>
      </c>
      <c r="Q117" s="16" t="n">
        <f aca="false">ABS(K117-0.36395)/0.0012</f>
        <v>0.419130960482526</v>
      </c>
      <c r="R117" s="16" t="n">
        <f aca="false">ABS(M117-0.17355)/0.016</f>
        <v>0.324437874657125</v>
      </c>
      <c r="S117" s="17" t="n">
        <f aca="false">SQRT(Q117*Q117+R117*R117)</f>
        <v>0.530028958215527</v>
      </c>
    </row>
    <row r="118" customFormat="false" ht="12.8" hidden="false" customHeight="false" outlineLevel="0" collapsed="false">
      <c r="A118" s="4" t="s">
        <v>19</v>
      </c>
      <c r="B118" s="4" t="n">
        <v>2.8</v>
      </c>
      <c r="C118" s="4" t="n">
        <v>55</v>
      </c>
      <c r="D118" s="1" t="n">
        <v>7.11838960829187</v>
      </c>
      <c r="E118" s="4" t="n">
        <v>0</v>
      </c>
      <c r="F118" s="1" t="n">
        <v>0.7</v>
      </c>
      <c r="G118" s="4" t="n">
        <v>1E+021</v>
      </c>
      <c r="H118" s="4" t="n">
        <v>0.3</v>
      </c>
      <c r="I118" s="5" t="n">
        <v>1000000000</v>
      </c>
      <c r="J118" s="6" t="n">
        <v>1665.72332420178</v>
      </c>
      <c r="K118" s="7" t="n">
        <v>0.363427452908404</v>
      </c>
      <c r="L118" s="8" t="n">
        <v>0.133179423413013</v>
      </c>
      <c r="M118" s="7" t="n">
        <v>0.170514047213962</v>
      </c>
      <c r="N118" s="7" t="n">
        <v>-0.00180398953682961</v>
      </c>
      <c r="O118" s="1" t="n">
        <v>211.744702974405</v>
      </c>
      <c r="P118" s="1" t="n">
        <v>200.793819757846</v>
      </c>
      <c r="Q118" s="16" t="n">
        <f aca="false">ABS(K118-0.36395)/0.0012</f>
        <v>0.435455909663327</v>
      </c>
      <c r="R118" s="16" t="n">
        <f aca="false">ABS(M118-0.17355)/0.016</f>
        <v>0.189747049127376</v>
      </c>
      <c r="S118" s="17" t="n">
        <f aca="false">SQRT(Q118*Q118+R118*R118)</f>
        <v>0.475000833592177</v>
      </c>
    </row>
    <row r="119" customFormat="false" ht="12.8" hidden="false" customHeight="false" outlineLevel="0" collapsed="false">
      <c r="A119" s="4" t="s">
        <v>19</v>
      </c>
      <c r="B119" s="4" t="n">
        <v>2.8</v>
      </c>
      <c r="C119" s="4" t="n">
        <v>50</v>
      </c>
      <c r="D119" s="1" t="n">
        <v>7.11925889725671</v>
      </c>
      <c r="E119" s="4" t="n">
        <v>0</v>
      </c>
      <c r="F119" s="1" t="n">
        <v>0.7</v>
      </c>
      <c r="G119" s="4" t="n">
        <v>1E+021</v>
      </c>
      <c r="H119" s="4" t="n">
        <v>0.3</v>
      </c>
      <c r="I119" s="5" t="n">
        <v>1000000000</v>
      </c>
      <c r="J119" s="6" t="n">
        <v>1661.57054020179</v>
      </c>
      <c r="K119" s="7" t="n">
        <v>0.363698994316746</v>
      </c>
      <c r="L119" s="8" t="n">
        <v>0.132799638990511</v>
      </c>
      <c r="M119" s="7" t="n">
        <v>0.169904650700518</v>
      </c>
      <c r="N119" s="7" t="n">
        <v>-0.00179809112812943</v>
      </c>
      <c r="O119" s="1" t="n">
        <v>211.429192730321</v>
      </c>
      <c r="P119" s="1" t="n">
        <v>200.864633699082</v>
      </c>
      <c r="Q119" s="16" t="n">
        <f aca="false">ABS(K119-0.36395)/0.0012</f>
        <v>0.20917140271165</v>
      </c>
      <c r="R119" s="16" t="n">
        <f aca="false">ABS(M119-0.17355)/0.016</f>
        <v>0.227834331217626</v>
      </c>
      <c r="S119" s="17" t="n">
        <f aca="false">SQRT(Q119*Q119+R119*R119)</f>
        <v>0.309291380729793</v>
      </c>
    </row>
    <row r="120" customFormat="false" ht="12.8" hidden="false" customHeight="false" outlineLevel="0" collapsed="false">
      <c r="A120" s="4" t="s">
        <v>19</v>
      </c>
      <c r="B120" s="4" t="n">
        <v>2.8</v>
      </c>
      <c r="C120" s="4" t="n">
        <v>45</v>
      </c>
      <c r="D120" s="1" t="n">
        <v>7.11314531424533</v>
      </c>
      <c r="E120" s="4" t="n">
        <v>0</v>
      </c>
      <c r="F120" s="1" t="n">
        <v>0.7</v>
      </c>
      <c r="G120" s="4" t="n">
        <v>1E+021</v>
      </c>
      <c r="H120" s="4" t="n">
        <v>0.3</v>
      </c>
      <c r="I120" s="5" t="n">
        <v>1000000000</v>
      </c>
      <c r="J120" s="6" t="n">
        <v>1657.75674820179</v>
      </c>
      <c r="K120" s="7" t="n">
        <v>0.363978461982561</v>
      </c>
      <c r="L120" s="8" t="n">
        <v>0.132468940780862</v>
      </c>
      <c r="M120" s="7" t="n">
        <v>0.169367823005568</v>
      </c>
      <c r="N120" s="7" t="n">
        <v>-0.00179315124379637</v>
      </c>
      <c r="O120" s="1" t="n">
        <v>210.863871681804</v>
      </c>
      <c r="P120" s="1" t="n">
        <v>200.931876584573</v>
      </c>
      <c r="Q120" s="16" t="n">
        <f aca="false">ABS(K120-0.36395)/0.0012</f>
        <v>0.0237183188008435</v>
      </c>
      <c r="R120" s="16" t="n">
        <f aca="false">ABS(M120-0.17355)/0.016</f>
        <v>0.261386062152001</v>
      </c>
      <c r="S120" s="17" t="n">
        <f aca="false">SQRT(Q120*Q120+R120*R120)</f>
        <v>0.262459962916381</v>
      </c>
    </row>
    <row r="121" customFormat="false" ht="12.8" hidden="false" customHeight="false" outlineLevel="0" collapsed="false">
      <c r="A121" s="4" t="s">
        <v>19</v>
      </c>
      <c r="B121" s="4" t="n">
        <v>2.8</v>
      </c>
      <c r="C121" s="4" t="n">
        <v>40</v>
      </c>
      <c r="D121" s="1" t="n">
        <v>7.11351868656081</v>
      </c>
      <c r="E121" s="4" t="n">
        <v>0</v>
      </c>
      <c r="F121" s="1" t="n">
        <v>0.7</v>
      </c>
      <c r="G121" s="4" t="n">
        <v>1E+021</v>
      </c>
      <c r="H121" s="4" t="n">
        <v>0.3</v>
      </c>
      <c r="I121" s="5" t="n">
        <v>1000000000</v>
      </c>
      <c r="J121" s="6" t="n">
        <v>1653.60396420179</v>
      </c>
      <c r="K121" s="7" t="n">
        <v>0.364252797329711</v>
      </c>
      <c r="L121" s="8" t="n">
        <v>0.132095162420691</v>
      </c>
      <c r="M121" s="7" t="n">
        <v>0.168767157093055</v>
      </c>
      <c r="N121" s="7" t="n">
        <v>-0.00178737477211338</v>
      </c>
      <c r="O121" s="1" t="n">
        <v>210.887508822106</v>
      </c>
      <c r="P121" s="1" t="n">
        <v>201.001118541967</v>
      </c>
      <c r="Q121" s="16" t="n">
        <f aca="false">ABS(K121-0.36395)/0.0012</f>
        <v>0.252331108092502</v>
      </c>
      <c r="R121" s="16" t="n">
        <f aca="false">ABS(M121-0.17355)/0.016</f>
        <v>0.298927681684063</v>
      </c>
      <c r="S121" s="17" t="n">
        <f aca="false">SQRT(Q121*Q121+R121*R121)</f>
        <v>0.391188889142059</v>
      </c>
    </row>
    <row r="122" customFormat="false" ht="12.8" hidden="false" customHeight="false" outlineLevel="0" collapsed="false">
      <c r="A122" s="4" t="s">
        <v>19</v>
      </c>
      <c r="B122" s="4" t="n">
        <v>2.8</v>
      </c>
      <c r="C122" s="4" t="n">
        <v>35</v>
      </c>
      <c r="D122" s="1" t="n">
        <v>7.11070568925678</v>
      </c>
      <c r="E122" s="4" t="n">
        <v>0</v>
      </c>
      <c r="F122" s="1" t="n">
        <v>0.7</v>
      </c>
      <c r="G122" s="4" t="n">
        <v>1E+021</v>
      </c>
      <c r="H122" s="4" t="n">
        <v>0.3</v>
      </c>
      <c r="I122" s="5" t="n">
        <v>1000000000</v>
      </c>
      <c r="J122" s="6" t="n">
        <v>1649.5937561919</v>
      </c>
      <c r="K122" s="7" t="n">
        <v>0.364531657104095</v>
      </c>
      <c r="L122" s="8" t="n">
        <v>0.131742834291878</v>
      </c>
      <c r="M122" s="7" t="n">
        <v>0.168259044232687</v>
      </c>
      <c r="N122" s="7" t="n">
        <v>-0.00179042843072752</v>
      </c>
      <c r="O122" s="1" t="n">
        <v>209.806486600829</v>
      </c>
      <c r="P122" s="1" t="n">
        <v>201.068328175517</v>
      </c>
      <c r="Q122" s="16" t="n">
        <f aca="false">ABS(K122-0.36395)/0.0012</f>
        <v>0.48471425341252</v>
      </c>
      <c r="R122" s="16" t="n">
        <f aca="false">ABS(M122-0.17355)/0.016</f>
        <v>0.330684735457063</v>
      </c>
      <c r="S122" s="17" t="n">
        <f aca="false">SQRT(Q122*Q122+R122*R122)</f>
        <v>0.58677108119399</v>
      </c>
    </row>
    <row r="123" customFormat="false" ht="12.8" hidden="false" customHeight="false" outlineLevel="0" collapsed="false">
      <c r="A123" s="4" t="s">
        <v>19</v>
      </c>
      <c r="B123" s="4" t="n">
        <v>2.9</v>
      </c>
      <c r="C123" s="4" t="n">
        <v>70</v>
      </c>
      <c r="D123" s="1" t="n">
        <v>7.1168035702698</v>
      </c>
      <c r="E123" s="4" t="n">
        <v>0</v>
      </c>
      <c r="F123" s="1" t="n">
        <v>0.7</v>
      </c>
      <c r="G123" s="4" t="n">
        <v>1E+021</v>
      </c>
      <c r="H123" s="4" t="n">
        <v>0.3</v>
      </c>
      <c r="I123" s="5" t="n">
        <v>1000000000</v>
      </c>
      <c r="J123" s="6" t="n">
        <v>1666.31695620178</v>
      </c>
      <c r="K123" s="7" t="n">
        <v>0.363414082315256</v>
      </c>
      <c r="L123" s="8" t="n">
        <v>0.133249475048654</v>
      </c>
      <c r="M123" s="7" t="n">
        <v>0.170616549931472</v>
      </c>
      <c r="N123" s="7" t="n">
        <v>-0.00179928222919323</v>
      </c>
      <c r="O123" s="1" t="n">
        <v>211.026780034226</v>
      </c>
      <c r="P123" s="1" t="n">
        <v>200.786479414557</v>
      </c>
      <c r="Q123" s="16" t="n">
        <f aca="false">ABS(K123-0.36395)/0.0012</f>
        <v>0.446598070619984</v>
      </c>
      <c r="R123" s="16" t="n">
        <f aca="false">ABS(M123-0.17355)/0.016</f>
        <v>0.183340629283001</v>
      </c>
      <c r="S123" s="17" t="n">
        <f aca="false">SQRT(Q123*Q123+R123*R123)</f>
        <v>0.482766634128104</v>
      </c>
    </row>
    <row r="124" customFormat="false" ht="12.8" hidden="false" customHeight="false" outlineLevel="0" collapsed="false">
      <c r="A124" s="4" t="s">
        <v>19</v>
      </c>
      <c r="B124" s="4" t="n">
        <v>2.9</v>
      </c>
      <c r="C124" s="4" t="n">
        <v>65</v>
      </c>
      <c r="D124" s="1" t="n">
        <v>7.12024176741963</v>
      </c>
      <c r="E124" s="4" t="n">
        <v>0</v>
      </c>
      <c r="F124" s="1" t="n">
        <v>0.7</v>
      </c>
      <c r="G124" s="4" t="n">
        <v>1E+021</v>
      </c>
      <c r="H124" s="4" t="n">
        <v>0.3</v>
      </c>
      <c r="I124" s="5" t="n">
        <v>1000000000</v>
      </c>
      <c r="J124" s="6" t="n">
        <v>1662.84215620178</v>
      </c>
      <c r="K124" s="7" t="n">
        <v>0.363627004612261</v>
      </c>
      <c r="L124" s="8" t="n">
        <v>0.132923504252663</v>
      </c>
      <c r="M124" s="7" t="n">
        <v>0.170096740533558</v>
      </c>
      <c r="N124" s="7" t="n">
        <v>-0.00179448767189275</v>
      </c>
      <c r="O124" s="1" t="n">
        <v>211.220979664695</v>
      </c>
      <c r="P124" s="1" t="n">
        <v>200.84444245976</v>
      </c>
      <c r="Q124" s="16" t="n">
        <f aca="false">ABS(K124-0.36395)/0.0012</f>
        <v>0.269162823115834</v>
      </c>
      <c r="R124" s="16" t="n">
        <f aca="false">ABS(M124-0.17355)/0.016</f>
        <v>0.215828716652626</v>
      </c>
      <c r="S124" s="17" t="n">
        <f aca="false">SQRT(Q124*Q124+R124*R124)</f>
        <v>0.34500820320625</v>
      </c>
    </row>
    <row r="125" customFormat="false" ht="12.8" hidden="false" customHeight="false" outlineLevel="0" collapsed="false">
      <c r="A125" s="4" t="s">
        <v>19</v>
      </c>
      <c r="B125" s="4" t="n">
        <v>2.9</v>
      </c>
      <c r="C125" s="4" t="n">
        <v>60</v>
      </c>
      <c r="D125" s="1" t="n">
        <v>7.11622606903806</v>
      </c>
      <c r="E125" s="4" t="n">
        <v>0</v>
      </c>
      <c r="F125" s="1" t="n">
        <v>0.7</v>
      </c>
      <c r="G125" s="4" t="n">
        <v>1E+021</v>
      </c>
      <c r="H125" s="4" t="n">
        <v>0.3</v>
      </c>
      <c r="I125" s="5" t="n">
        <v>1000000000</v>
      </c>
      <c r="J125" s="6" t="n">
        <v>1659.70634820178</v>
      </c>
      <c r="K125" s="7" t="n">
        <v>0.363849845364598</v>
      </c>
      <c r="L125" s="8" t="n">
        <v>0.132646771620947</v>
      </c>
      <c r="M125" s="7" t="n">
        <v>0.169649257241062</v>
      </c>
      <c r="N125" s="7" t="n">
        <v>-0.00179070446832949</v>
      </c>
      <c r="O125" s="1" t="n">
        <v>210.831974377463</v>
      </c>
      <c r="P125" s="1" t="n">
        <v>200.899242231704</v>
      </c>
      <c r="Q125" s="16" t="n">
        <f aca="false">ABS(K125-0.36395)/0.0012</f>
        <v>0.0834621961683102</v>
      </c>
      <c r="R125" s="16" t="n">
        <f aca="false">ABS(M125-0.17355)/0.016</f>
        <v>0.243796422433626</v>
      </c>
      <c r="S125" s="17" t="n">
        <f aca="false">SQRT(Q125*Q125+R125*R125)</f>
        <v>0.257687085009459</v>
      </c>
    </row>
    <row r="126" customFormat="false" ht="12.8" hidden="false" customHeight="false" outlineLevel="0" collapsed="false">
      <c r="A126" s="4" t="s">
        <v>19</v>
      </c>
      <c r="B126" s="4" t="n">
        <v>2.9</v>
      </c>
      <c r="C126" s="4" t="n">
        <v>55</v>
      </c>
      <c r="D126" s="1" t="n">
        <v>7.11291773960638</v>
      </c>
      <c r="E126" s="4" t="n">
        <v>0</v>
      </c>
      <c r="F126" s="1" t="n">
        <v>0.7</v>
      </c>
      <c r="G126" s="4" t="n">
        <v>1E+021</v>
      </c>
      <c r="H126" s="4" t="n">
        <v>0.3</v>
      </c>
      <c r="I126" s="5" t="n">
        <v>1000000000</v>
      </c>
      <c r="J126" s="6" t="n">
        <v>1656.57054020179</v>
      </c>
      <c r="K126" s="7" t="n">
        <v>0.364070090135657</v>
      </c>
      <c r="L126" s="8" t="n">
        <v>0.132370290780178</v>
      </c>
      <c r="M126" s="7" t="n">
        <v>0.169202840481114</v>
      </c>
      <c r="N126" s="7" t="n">
        <v>-0.00178681852597679</v>
      </c>
      <c r="O126" s="1" t="n">
        <v>210.85902543377</v>
      </c>
      <c r="P126" s="1" t="n">
        <v>200.953276073443</v>
      </c>
      <c r="Q126" s="16" t="n">
        <f aca="false">ABS(K126-0.36395)/0.0012</f>
        <v>0.100075113047502</v>
      </c>
      <c r="R126" s="16" t="n">
        <f aca="false">ABS(M126-0.17355)/0.016</f>
        <v>0.271697469930375</v>
      </c>
      <c r="S126" s="17" t="n">
        <f aca="false">SQRT(Q126*Q126+R126*R126)</f>
        <v>0.289541954504071</v>
      </c>
    </row>
    <row r="127" customFormat="false" ht="12.8" hidden="false" customHeight="false" outlineLevel="0" collapsed="false">
      <c r="A127" s="4" t="s">
        <v>19</v>
      </c>
      <c r="B127" s="4" t="n">
        <v>2.9</v>
      </c>
      <c r="C127" s="4" t="n">
        <v>50</v>
      </c>
      <c r="D127" s="1" t="n">
        <v>7.10962088094553</v>
      </c>
      <c r="E127" s="4" t="n">
        <v>0</v>
      </c>
      <c r="F127" s="1" t="n">
        <v>0.7</v>
      </c>
      <c r="G127" s="4" t="n">
        <v>1E+021</v>
      </c>
      <c r="H127" s="4" t="n">
        <v>0.3</v>
      </c>
      <c r="I127" s="5" t="n">
        <v>1000000000</v>
      </c>
      <c r="J127" s="6" t="n">
        <v>1653.43473220179</v>
      </c>
      <c r="K127" s="7" t="n">
        <v>0.364290663274082</v>
      </c>
      <c r="L127" s="8" t="n">
        <v>0.132095269836609</v>
      </c>
      <c r="M127" s="7" t="n">
        <v>0.168758562955647</v>
      </c>
      <c r="N127" s="7" t="n">
        <v>-0.00178300533085624</v>
      </c>
      <c r="O127" s="1" t="n">
        <v>210.877929485883</v>
      </c>
      <c r="P127" s="1" t="n">
        <v>201.006779519568</v>
      </c>
      <c r="Q127" s="16" t="n">
        <f aca="false">ABS(K127-0.36395)/0.0012</f>
        <v>0.283886061734999</v>
      </c>
      <c r="R127" s="16" t="n">
        <f aca="false">ABS(M127-0.17355)/0.016</f>
        <v>0.299464815272063</v>
      </c>
      <c r="S127" s="17" t="n">
        <f aca="false">SQRT(Q127*Q127+R127*R127)</f>
        <v>0.412638427237864</v>
      </c>
    </row>
    <row r="128" customFormat="false" ht="12.8" hidden="false" customHeight="false" outlineLevel="0" collapsed="false">
      <c r="A128" s="4" t="s">
        <v>19</v>
      </c>
      <c r="B128" s="4" t="n">
        <v>2.9</v>
      </c>
      <c r="C128" s="4" t="n">
        <v>45</v>
      </c>
      <c r="D128" s="1" t="n">
        <v>7.11123527633255</v>
      </c>
      <c r="E128" s="4" t="n">
        <v>0</v>
      </c>
      <c r="F128" s="1" t="n">
        <v>0.7</v>
      </c>
      <c r="G128" s="4" t="n">
        <v>1E+021</v>
      </c>
      <c r="H128" s="4" t="n">
        <v>0.3</v>
      </c>
      <c r="I128" s="5" t="n">
        <v>1000000000</v>
      </c>
      <c r="J128" s="6" t="n">
        <v>1650.04853937858</v>
      </c>
      <c r="K128" s="7" t="n">
        <v>0.364507038934235</v>
      </c>
      <c r="L128" s="8" t="n">
        <v>0.131786553101336</v>
      </c>
      <c r="M128" s="7" t="n">
        <v>0.1683259661484</v>
      </c>
      <c r="N128" s="7" t="n">
        <v>-0.00175805581454164</v>
      </c>
      <c r="O128" s="1" t="n">
        <v>210.620169601148</v>
      </c>
      <c r="P128" s="1" t="n">
        <v>201.061452003332</v>
      </c>
      <c r="Q128" s="16" t="n">
        <f aca="false">ABS(K128-0.36395)/0.0012</f>
        <v>0.464199111862481</v>
      </c>
      <c r="R128" s="16" t="n">
        <f aca="false">ABS(M128-0.17355)/0.016</f>
        <v>0.326502115725</v>
      </c>
      <c r="S128" s="17" t="n">
        <f aca="false">SQRT(Q128*Q128+R128*R128)</f>
        <v>0.567524842651683</v>
      </c>
    </row>
    <row r="129" customFormat="false" ht="12.8" hidden="false" customHeight="false" outlineLevel="0" collapsed="false">
      <c r="A129" s="4" t="s">
        <v>19</v>
      </c>
      <c r="B129" s="4" t="n">
        <v>3</v>
      </c>
      <c r="C129" s="4" t="n">
        <v>70</v>
      </c>
      <c r="D129" s="1" t="n">
        <v>7.11527242893935</v>
      </c>
      <c r="E129" s="4" t="n">
        <v>0</v>
      </c>
      <c r="F129" s="1" t="n">
        <v>0.7</v>
      </c>
      <c r="G129" s="4" t="n">
        <v>1E+021</v>
      </c>
      <c r="H129" s="4" t="n">
        <v>0.3</v>
      </c>
      <c r="I129" s="5" t="n">
        <v>1000000000</v>
      </c>
      <c r="J129" s="6" t="n">
        <v>1654.45223620178</v>
      </c>
      <c r="K129" s="7" t="n">
        <v>0.364217288679388</v>
      </c>
      <c r="L129" s="8" t="n">
        <v>0.132188058889319</v>
      </c>
      <c r="M129" s="7" t="n">
        <v>0.168901943014507</v>
      </c>
      <c r="N129" s="7" t="n">
        <v>-0.00177705256893848</v>
      </c>
      <c r="O129" s="1" t="n">
        <v>210.853107164959</v>
      </c>
      <c r="P129" s="1" t="n">
        <v>200.990021021305</v>
      </c>
      <c r="Q129" s="16" t="n">
        <f aca="false">ABS(K129-0.36395)/0.0012</f>
        <v>0.222740566156685</v>
      </c>
      <c r="R129" s="16" t="n">
        <f aca="false">ABS(M129-0.17355)/0.016</f>
        <v>0.290503561593313</v>
      </c>
      <c r="S129" s="17" t="n">
        <f aca="false">SQRT(Q129*Q129+R129*R129)</f>
        <v>0.366067861345681</v>
      </c>
    </row>
    <row r="130" customFormat="false" ht="12.8" hidden="false" customHeight="false" outlineLevel="0" collapsed="false">
      <c r="A130" s="4" t="s">
        <v>19</v>
      </c>
      <c r="B130" s="4" t="n">
        <v>3</v>
      </c>
      <c r="C130" s="4" t="n">
        <v>65</v>
      </c>
      <c r="D130" s="1" t="n">
        <v>7.11360122816144</v>
      </c>
      <c r="E130" s="4" t="n">
        <v>0</v>
      </c>
      <c r="F130" s="1" t="n">
        <v>0.7</v>
      </c>
      <c r="G130" s="4" t="n">
        <v>1E+021</v>
      </c>
      <c r="H130" s="4" t="n">
        <v>0.3</v>
      </c>
      <c r="I130" s="5" t="n">
        <v>1000000000</v>
      </c>
      <c r="J130" s="6" t="n">
        <v>1652.02895359549</v>
      </c>
      <c r="K130" s="7" t="n">
        <v>0.364381673360308</v>
      </c>
      <c r="L130" s="8" t="n">
        <v>0.131972249256604</v>
      </c>
      <c r="M130" s="7" t="n">
        <v>0.168624983215641</v>
      </c>
      <c r="N130" s="7" t="n">
        <v>-0.00176907463146458</v>
      </c>
      <c r="O130" s="1" t="n">
        <v>210.542569417551</v>
      </c>
      <c r="P130" s="1" t="n">
        <v>201.03042053222</v>
      </c>
      <c r="Q130" s="16" t="n">
        <f aca="false">ABS(K130-0.36395)/0.0012</f>
        <v>0.359727800256689</v>
      </c>
      <c r="R130" s="16" t="n">
        <f aca="false">ABS(M130-0.17355)/0.016</f>
        <v>0.307813549022437</v>
      </c>
      <c r="S130" s="17" t="n">
        <f aca="false">SQRT(Q130*Q130+R130*R130)</f>
        <v>0.473448277258778</v>
      </c>
    </row>
    <row r="131" customFormat="false" ht="12.8" hidden="false" customHeight="false" outlineLevel="0" collapsed="false">
      <c r="A131" s="4" t="s">
        <v>19</v>
      </c>
      <c r="B131" s="4" t="n">
        <v>3</v>
      </c>
      <c r="C131" s="4" t="n">
        <v>60</v>
      </c>
      <c r="D131" s="1" t="n">
        <v>7.11072717982072</v>
      </c>
      <c r="E131" s="4" t="n">
        <v>0</v>
      </c>
      <c r="F131" s="1" t="n">
        <v>0.7</v>
      </c>
      <c r="G131" s="4" t="n">
        <v>1E+021</v>
      </c>
      <c r="H131" s="4" t="n">
        <v>0.3</v>
      </c>
      <c r="I131" s="5" t="n">
        <v>1000000000</v>
      </c>
      <c r="J131" s="6" t="n">
        <v>1649.66121137659</v>
      </c>
      <c r="K131" s="7" t="n">
        <v>0.364547960978723</v>
      </c>
      <c r="L131" s="8" t="n">
        <v>0.13176476642463</v>
      </c>
      <c r="M131" s="7" t="n">
        <v>0.168275304600066</v>
      </c>
      <c r="N131" s="7" t="n">
        <v>-0.00177486633636775</v>
      </c>
      <c r="O131" s="1" t="n">
        <v>210.618485088506</v>
      </c>
      <c r="P131" s="1" t="n">
        <v>201.070087449867</v>
      </c>
      <c r="Q131" s="16" t="n">
        <f aca="false">ABS(K131-0.36395)/0.0012</f>
        <v>0.4983008156025</v>
      </c>
      <c r="R131" s="16" t="n">
        <f aca="false">ABS(M131-0.17355)/0.016</f>
        <v>0.329668462495875</v>
      </c>
      <c r="S131" s="17" t="n">
        <f aca="false">SQRT(Q131*Q131+R131*R131)</f>
        <v>0.597482215630315</v>
      </c>
    </row>
    <row r="132" customFormat="false" ht="12.8" hidden="false" customHeight="false" outlineLevel="0" collapsed="false">
      <c r="A132" s="4" t="s">
        <v>19</v>
      </c>
      <c r="B132" s="4" t="n">
        <v>2.7</v>
      </c>
      <c r="C132" s="4" t="n">
        <v>40</v>
      </c>
      <c r="D132" s="1" t="n">
        <v>7.20219163391269</v>
      </c>
      <c r="E132" s="4" t="n">
        <v>0</v>
      </c>
      <c r="F132" s="1" t="n">
        <v>0.65</v>
      </c>
      <c r="G132" s="4" t="n">
        <v>1E+021</v>
      </c>
      <c r="H132" s="4" t="n">
        <v>0.3</v>
      </c>
      <c r="I132" s="5" t="n">
        <v>1000000000</v>
      </c>
      <c r="J132" s="6" t="n">
        <v>1642.00269502</v>
      </c>
      <c r="K132" s="7" t="n">
        <v>0.363634145304231</v>
      </c>
      <c r="L132" s="8" t="n">
        <v>0.130240862492227</v>
      </c>
      <c r="M132" s="7" t="n">
        <v>0.166143318730341</v>
      </c>
      <c r="N132" s="7" t="n">
        <v>-0.00174195682909809</v>
      </c>
      <c r="O132" s="1" t="n">
        <v>210.257585906205</v>
      </c>
      <c r="P132" s="1" t="n">
        <v>200.91396398919</v>
      </c>
      <c r="Q132" s="16" t="n">
        <f aca="false">ABS(K132-0.36395)/0.0012</f>
        <v>0.263212246474169</v>
      </c>
      <c r="R132" s="16" t="n">
        <f aca="false">ABS(M132-0.17355)/0.016</f>
        <v>0.462917579353689</v>
      </c>
      <c r="S132" s="17" t="n">
        <f aca="false">SQRT(Q132*Q132+R132*R132)</f>
        <v>0.532516076723189</v>
      </c>
    </row>
    <row r="133" customFormat="false" ht="12.8" hidden="false" customHeight="false" outlineLevel="0" collapsed="false">
      <c r="A133" s="4" t="s">
        <v>19</v>
      </c>
      <c r="B133" s="4" t="n">
        <v>2.8</v>
      </c>
      <c r="C133" s="4" t="n">
        <v>50</v>
      </c>
      <c r="D133" s="1" t="n">
        <v>7.19680415835481</v>
      </c>
      <c r="E133" s="4" t="n">
        <v>0</v>
      </c>
      <c r="F133" s="1" t="n">
        <v>0.65</v>
      </c>
      <c r="G133" s="4" t="n">
        <v>1E+021</v>
      </c>
      <c r="H133" s="4" t="n">
        <v>0.3</v>
      </c>
      <c r="I133" s="5" t="n">
        <v>1000000000</v>
      </c>
      <c r="J133" s="6" t="n">
        <v>1643.58107646676</v>
      </c>
      <c r="K133" s="7" t="n">
        <v>0.363559999295801</v>
      </c>
      <c r="L133" s="8" t="n">
        <v>0.13039650889782</v>
      </c>
      <c r="M133" s="7" t="n">
        <v>0.166356672275977</v>
      </c>
      <c r="N133" s="7" t="n">
        <v>-0.00174850465078497</v>
      </c>
      <c r="O133" s="1" t="n">
        <v>211.109135650272</v>
      </c>
      <c r="P133" s="1" t="n">
        <v>200.891163976952</v>
      </c>
      <c r="Q133" s="16" t="n">
        <f aca="false">ABS(K133-0.36395)/0.0012</f>
        <v>0.325000586832482</v>
      </c>
      <c r="R133" s="16" t="n">
        <f aca="false">ABS(M133-0.17355)/0.016</f>
        <v>0.449582982751438</v>
      </c>
      <c r="S133" s="17" t="n">
        <f aca="false">SQRT(Q133*Q133+R133*R133)</f>
        <v>0.554752413082753</v>
      </c>
    </row>
    <row r="134" s="15" customFormat="true" ht="12.8" hidden="false" customHeight="false" outlineLevel="0" collapsed="false">
      <c r="A134" s="9" t="s">
        <v>19</v>
      </c>
      <c r="B134" s="9" t="n">
        <v>2.9</v>
      </c>
      <c r="C134" s="9" t="n">
        <v>65</v>
      </c>
      <c r="D134" s="10" t="n">
        <v>7.1982738756247</v>
      </c>
      <c r="E134" s="9" t="n">
        <v>0</v>
      </c>
      <c r="F134" s="10" t="n">
        <v>0.65</v>
      </c>
      <c r="G134" s="9" t="n">
        <v>1E+021</v>
      </c>
      <c r="H134" s="9" t="n">
        <v>0.3</v>
      </c>
      <c r="I134" s="11" t="n">
        <v>1000000000</v>
      </c>
      <c r="J134" s="12" t="n">
        <v>1644.81177231916</v>
      </c>
      <c r="K134" s="13" t="n">
        <v>0.363487007398244</v>
      </c>
      <c r="L134" s="14" t="n">
        <v>0.130509241862615</v>
      </c>
      <c r="M134" s="13" t="n">
        <v>0.16653804451669</v>
      </c>
      <c r="N134" s="13" t="n">
        <v>-0.00174620432146461</v>
      </c>
      <c r="O134" s="10" t="n">
        <v>210.367496481081</v>
      </c>
      <c r="P134" s="10" t="n">
        <v>200.871578398328</v>
      </c>
      <c r="Q134" s="16" t="n">
        <f aca="false">ABS(K134-0.36395)/0.0012</f>
        <v>0.385827168129978</v>
      </c>
      <c r="R134" s="16" t="n">
        <f aca="false">ABS(M134-0.17355)/0.016</f>
        <v>0.438247217706876</v>
      </c>
      <c r="S134" s="17" t="n">
        <f aca="false">SQRT(Q134*Q134+R134*R134)</f>
        <v>0.583886313844584</v>
      </c>
    </row>
    <row r="135" customFormat="false" ht="12.8" hidden="false" customHeight="false" outlineLevel="0" collapsed="false">
      <c r="A135" s="4" t="s">
        <v>20</v>
      </c>
      <c r="B135" s="4" t="n">
        <v>2.7</v>
      </c>
      <c r="C135" s="4" t="n">
        <v>55</v>
      </c>
      <c r="D135" s="1" t="n">
        <v>6.97020599590759</v>
      </c>
      <c r="E135" s="4" t="n">
        <v>0</v>
      </c>
      <c r="F135" s="1" t="n">
        <v>0.8</v>
      </c>
      <c r="G135" s="4" t="n">
        <v>1E+021</v>
      </c>
      <c r="H135" s="4" t="n">
        <v>0.3</v>
      </c>
      <c r="I135" s="5" t="n">
        <v>1000000000</v>
      </c>
      <c r="J135" s="6" t="n">
        <v>1709.79228420178</v>
      </c>
      <c r="K135" s="7" t="n">
        <v>0.363739992891925</v>
      </c>
      <c r="L135" s="8" t="n">
        <v>0.138209857450985</v>
      </c>
      <c r="M135" s="7" t="n">
        <v>0.179286309117938</v>
      </c>
      <c r="N135" s="7" t="n">
        <v>-0.00208930319925255</v>
      </c>
      <c r="O135" s="1" t="n">
        <v>212.295913389153</v>
      </c>
      <c r="P135" s="1" t="n">
        <v>200.435620773955</v>
      </c>
      <c r="Q135" s="16" t="n">
        <f aca="false">ABS(K135-0.36395)/0.0012</f>
        <v>0.175005923395838</v>
      </c>
      <c r="R135" s="16" t="n">
        <f aca="false">ABS(M135-0.17355)/0.016</f>
        <v>0.358519319871124</v>
      </c>
      <c r="S135" s="17" t="n">
        <f aca="false">SQRT(Q135*Q135+R135*R135)</f>
        <v>0.398952598618537</v>
      </c>
    </row>
    <row r="136" customFormat="false" ht="12.8" hidden="false" customHeight="false" outlineLevel="0" collapsed="false">
      <c r="A136" s="4" t="s">
        <v>20</v>
      </c>
      <c r="B136" s="4" t="n">
        <v>2.7</v>
      </c>
      <c r="C136" s="4" t="n">
        <v>50</v>
      </c>
      <c r="D136" s="1" t="n">
        <v>6.96569581586651</v>
      </c>
      <c r="E136" s="4" t="n">
        <v>0</v>
      </c>
      <c r="F136" s="1" t="n">
        <v>0.8</v>
      </c>
      <c r="G136" s="4" t="n">
        <v>1E+021</v>
      </c>
      <c r="H136" s="4" t="n">
        <v>0.3</v>
      </c>
      <c r="I136" s="5" t="n">
        <v>1000000000</v>
      </c>
      <c r="J136" s="6" t="n">
        <v>1704.62252420178</v>
      </c>
      <c r="K136" s="7" t="n">
        <v>0.364094376985914</v>
      </c>
      <c r="L136" s="8" t="n">
        <v>0.137692191396267</v>
      </c>
      <c r="M136" s="7" t="n">
        <v>0.178437136130058</v>
      </c>
      <c r="N136" s="7" t="n">
        <v>-0.00207882899324877</v>
      </c>
      <c r="O136" s="1" t="n">
        <v>210.957042473931</v>
      </c>
      <c r="P136" s="1" t="n">
        <v>200.530216393459</v>
      </c>
      <c r="Q136" s="16" t="n">
        <f aca="false">ABS(K136-0.36395)/0.0012</f>
        <v>0.120314154928349</v>
      </c>
      <c r="R136" s="16" t="n">
        <f aca="false">ABS(M136-0.17355)/0.016</f>
        <v>0.305446008128624</v>
      </c>
      <c r="S136" s="17" t="n">
        <f aca="false">SQRT(Q136*Q136+R136*R136)</f>
        <v>0.328287617429951</v>
      </c>
    </row>
    <row r="137" customFormat="false" ht="12.8" hidden="false" customHeight="false" outlineLevel="0" collapsed="false">
      <c r="A137" s="4" t="s">
        <v>20</v>
      </c>
      <c r="B137" s="4" t="n">
        <v>2.7</v>
      </c>
      <c r="C137" s="4" t="n">
        <v>45</v>
      </c>
      <c r="D137" s="1" t="n">
        <v>6.9606178563838</v>
      </c>
      <c r="E137" s="4" t="n">
        <v>0</v>
      </c>
      <c r="F137" s="1" t="n">
        <v>0.8</v>
      </c>
      <c r="G137" s="4" t="n">
        <v>1E+021</v>
      </c>
      <c r="H137" s="4" t="n">
        <v>0.3</v>
      </c>
      <c r="I137" s="5" t="n">
        <v>1000000000</v>
      </c>
      <c r="J137" s="6" t="n">
        <v>1699.45276420178</v>
      </c>
      <c r="K137" s="7" t="n">
        <v>0.364451569856527</v>
      </c>
      <c r="L137" s="8" t="n">
        <v>0.137180280226626</v>
      </c>
      <c r="M137" s="7" t="n">
        <v>0.17759694688359</v>
      </c>
      <c r="N137" s="7" t="n">
        <v>-0.00206853857291572</v>
      </c>
      <c r="O137" s="1" t="n">
        <v>211.774842867518</v>
      </c>
      <c r="P137" s="1" t="n">
        <v>200.623596362359</v>
      </c>
      <c r="Q137" s="16" t="n">
        <f aca="false">ABS(K137-0.36395)/0.0012</f>
        <v>0.417974880439163</v>
      </c>
      <c r="R137" s="16" t="n">
        <f aca="false">ABS(M137-0.17355)/0.016</f>
        <v>0.252934180224375</v>
      </c>
      <c r="S137" s="17" t="n">
        <f aca="false">SQRT(Q137*Q137+R137*R137)</f>
        <v>0.488547541395829</v>
      </c>
    </row>
    <row r="138" customFormat="false" ht="12.8" hidden="false" customHeight="false" outlineLevel="0" collapsed="false">
      <c r="A138" s="4" t="s">
        <v>20</v>
      </c>
      <c r="B138" s="4" t="n">
        <v>2.8</v>
      </c>
      <c r="C138" s="4" t="n">
        <v>70</v>
      </c>
      <c r="D138" s="1" t="n">
        <v>6.97199385999698</v>
      </c>
      <c r="E138" s="4" t="n">
        <v>0</v>
      </c>
      <c r="F138" s="1" t="n">
        <v>0.8</v>
      </c>
      <c r="G138" s="4" t="n">
        <v>1E+021</v>
      </c>
      <c r="H138" s="4" t="n">
        <v>0.3</v>
      </c>
      <c r="I138" s="5" t="n">
        <v>1000000000</v>
      </c>
      <c r="J138" s="6" t="n">
        <v>1714.11482820178</v>
      </c>
      <c r="K138" s="7" t="n">
        <v>0.363472737956316</v>
      </c>
      <c r="L138" s="8" t="n">
        <v>0.138685887165222</v>
      </c>
      <c r="M138" s="7" t="n">
        <v>0.180059203580223</v>
      </c>
      <c r="N138" s="7" t="n">
        <v>-0.00209385613454496</v>
      </c>
      <c r="O138" s="1" t="n">
        <v>211.475371935073</v>
      </c>
      <c r="P138" s="1" t="n">
        <v>200.362507557368</v>
      </c>
      <c r="Q138" s="16" t="n">
        <f aca="false">ABS(K138-0.36395)/0.0012</f>
        <v>0.397718369736649</v>
      </c>
      <c r="R138" s="16" t="n">
        <f aca="false">ABS(M138-0.17355)/0.016</f>
        <v>0.406825223763938</v>
      </c>
      <c r="S138" s="17" t="n">
        <f aca="false">SQRT(Q138*Q138+R138*R138)</f>
        <v>0.568934674911414</v>
      </c>
    </row>
    <row r="139" customFormat="false" ht="12.8" hidden="false" customHeight="false" outlineLevel="0" collapsed="false">
      <c r="A139" s="4" t="s">
        <v>20</v>
      </c>
      <c r="B139" s="4" t="n">
        <v>2.8</v>
      </c>
      <c r="C139" s="4" t="n">
        <v>65</v>
      </c>
      <c r="D139" s="1" t="n">
        <v>6.97013590890446</v>
      </c>
      <c r="E139" s="4" t="n">
        <v>0</v>
      </c>
      <c r="F139" s="1" t="n">
        <v>0.8</v>
      </c>
      <c r="G139" s="4" t="n">
        <v>1E+021</v>
      </c>
      <c r="H139" s="4" t="n">
        <v>0.3</v>
      </c>
      <c r="I139" s="5" t="n">
        <v>1000000000</v>
      </c>
      <c r="J139" s="6" t="n">
        <v>1709.62305220178</v>
      </c>
      <c r="K139" s="7" t="n">
        <v>0.36376880277017</v>
      </c>
      <c r="L139" s="8" t="n">
        <v>0.138224216703674</v>
      </c>
      <c r="M139" s="7" t="n">
        <v>0.179304303220749</v>
      </c>
      <c r="N139" s="7" t="n">
        <v>-0.002084739874579</v>
      </c>
      <c r="O139" s="1" t="n">
        <v>211.830877164003</v>
      </c>
      <c r="P139" s="1" t="n">
        <v>200.444301326994</v>
      </c>
      <c r="Q139" s="16" t="n">
        <f aca="false">ABS(K139-0.36395)/0.0012</f>
        <v>0.150997691525009</v>
      </c>
      <c r="R139" s="16" t="n">
        <f aca="false">ABS(M139-0.17355)/0.016</f>
        <v>0.359643951296812</v>
      </c>
      <c r="S139" s="17" t="n">
        <f aca="false">SQRT(Q139*Q139+R139*R139)</f>
        <v>0.390056501740793</v>
      </c>
    </row>
    <row r="140" customFormat="false" ht="12.8" hidden="false" customHeight="false" outlineLevel="0" collapsed="false">
      <c r="A140" s="4" t="s">
        <v>20</v>
      </c>
      <c r="B140" s="4" t="n">
        <v>2.8</v>
      </c>
      <c r="C140" s="4" t="n">
        <v>60</v>
      </c>
      <c r="D140" s="1" t="n">
        <v>6.96805663783377</v>
      </c>
      <c r="E140" s="4" t="n">
        <v>0</v>
      </c>
      <c r="F140" s="1" t="n">
        <v>0.8</v>
      </c>
      <c r="G140" s="4" t="n">
        <v>1E+021</v>
      </c>
      <c r="H140" s="4" t="n">
        <v>0.3</v>
      </c>
      <c r="I140" s="5" t="n">
        <v>1000000000</v>
      </c>
      <c r="J140" s="6" t="n">
        <v>1705.13127620178</v>
      </c>
      <c r="K140" s="7" t="n">
        <v>0.364066097290975</v>
      </c>
      <c r="L140" s="8" t="n">
        <v>0.137766630762968</v>
      </c>
      <c r="M140" s="7" t="n">
        <v>0.178556007507666</v>
      </c>
      <c r="N140" s="7" t="n">
        <v>-0.00207575125513723</v>
      </c>
      <c r="O140" s="1" t="n">
        <v>212.586919725263</v>
      </c>
      <c r="P140" s="1" t="n">
        <v>200.525096233428</v>
      </c>
      <c r="Q140" s="16" t="n">
        <f aca="false">ABS(K140-0.36395)/0.0012</f>
        <v>0.0967477424791696</v>
      </c>
      <c r="R140" s="16" t="n">
        <f aca="false">ABS(M140-0.17355)/0.016</f>
        <v>0.312875469229125</v>
      </c>
      <c r="S140" s="17" t="n">
        <f aca="false">SQRT(Q140*Q140+R140*R140)</f>
        <v>0.327492266962383</v>
      </c>
    </row>
    <row r="141" customFormat="false" ht="12.8" hidden="false" customHeight="false" outlineLevel="0" collapsed="false">
      <c r="A141" s="4" t="s">
        <v>20</v>
      </c>
      <c r="B141" s="4" t="n">
        <v>2.8</v>
      </c>
      <c r="C141" s="4" t="n">
        <v>55</v>
      </c>
      <c r="D141" s="1" t="n">
        <v>6.96585402909532</v>
      </c>
      <c r="E141" s="4" t="n">
        <v>0</v>
      </c>
      <c r="F141" s="1" t="n">
        <v>0.8</v>
      </c>
      <c r="G141" s="4" t="n">
        <v>1E+021</v>
      </c>
      <c r="H141" s="4" t="n">
        <v>0.3</v>
      </c>
      <c r="I141" s="5" t="n">
        <v>1000000000</v>
      </c>
      <c r="J141" s="6" t="n">
        <v>1700.63950020178</v>
      </c>
      <c r="K141" s="7" t="n">
        <v>0.364364341251341</v>
      </c>
      <c r="L141" s="8" t="n">
        <v>0.137313050785098</v>
      </c>
      <c r="M141" s="7" t="n">
        <v>0.17781421899421</v>
      </c>
      <c r="N141" s="7" t="n">
        <v>-0.00206688347738848</v>
      </c>
      <c r="O141" s="1" t="n">
        <v>211.764717679355</v>
      </c>
      <c r="P141" s="1" t="n">
        <v>200.604904325783</v>
      </c>
      <c r="Q141" s="16" t="n">
        <f aca="false">ABS(K141-0.36395)/0.0012</f>
        <v>0.34528437611749</v>
      </c>
      <c r="R141" s="16" t="n">
        <f aca="false">ABS(M141-0.17355)/0.016</f>
        <v>0.266513687138124</v>
      </c>
      <c r="S141" s="17" t="n">
        <f aca="false">SQRT(Q141*Q141+R141*R141)</f>
        <v>0.436177539337828</v>
      </c>
    </row>
    <row r="142" customFormat="false" ht="12.8" hidden="false" customHeight="false" outlineLevel="0" collapsed="false">
      <c r="A142" s="4" t="s">
        <v>20</v>
      </c>
      <c r="B142" s="4" t="n">
        <v>2.9</v>
      </c>
      <c r="C142" s="4" t="n">
        <v>70</v>
      </c>
      <c r="D142" s="1" t="n">
        <v>6.96629063988413</v>
      </c>
      <c r="E142" s="4" t="n">
        <v>0</v>
      </c>
      <c r="F142" s="1" t="n">
        <v>0.8</v>
      </c>
      <c r="G142" s="4" t="n">
        <v>1E+021</v>
      </c>
      <c r="H142" s="4" t="n">
        <v>0.3</v>
      </c>
      <c r="I142" s="5" t="n">
        <v>1000000000</v>
      </c>
      <c r="J142" s="6" t="n">
        <v>1702.58910020178</v>
      </c>
      <c r="K142" s="7" t="n">
        <v>0.364256713973732</v>
      </c>
      <c r="L142" s="8" t="n">
        <v>0.137550470431316</v>
      </c>
      <c r="M142" s="7" t="n">
        <v>0.178195113402084</v>
      </c>
      <c r="N142" s="7" t="n">
        <v>-0.00206552087461406</v>
      </c>
      <c r="O142" s="1" t="n">
        <v>211.781321905038</v>
      </c>
      <c r="P142" s="1" t="n">
        <v>200.577666186159</v>
      </c>
      <c r="Q142" s="16" t="n">
        <f aca="false">ABS(K142-0.36395)/0.0012</f>
        <v>0.255594978109998</v>
      </c>
      <c r="R142" s="16" t="n">
        <f aca="false">ABS(M142-0.17355)/0.016</f>
        <v>0.290319587630249</v>
      </c>
      <c r="S142" s="17" t="n">
        <f aca="false">SQRT(Q142*Q142+R142*R142)</f>
        <v>0.386800020419917</v>
      </c>
    </row>
    <row r="143" customFormat="false" ht="12.8" hidden="false" customHeight="false" outlineLevel="0" collapsed="false">
      <c r="A143" s="4" t="s">
        <v>20</v>
      </c>
      <c r="B143" s="4" t="n">
        <v>2.9</v>
      </c>
      <c r="C143" s="4" t="n">
        <v>65</v>
      </c>
      <c r="D143" s="1" t="n">
        <v>6.95975393791122</v>
      </c>
      <c r="E143" s="4" t="n">
        <v>0</v>
      </c>
      <c r="F143" s="1" t="n">
        <v>0.8</v>
      </c>
      <c r="G143" s="4" t="n">
        <v>1E+021</v>
      </c>
      <c r="H143" s="4" t="n">
        <v>0.3</v>
      </c>
      <c r="I143" s="5" t="n">
        <v>1000000000</v>
      </c>
      <c r="J143" s="6" t="n">
        <v>1699.11430020178</v>
      </c>
      <c r="K143" s="7" t="n">
        <v>0.364505892313059</v>
      </c>
      <c r="L143" s="8" t="n">
        <v>0.137208180219701</v>
      </c>
      <c r="M143" s="7" t="n">
        <v>0.177631551716496</v>
      </c>
      <c r="N143" s="7" t="n">
        <v>-0.00205936832425846</v>
      </c>
      <c r="O143" s="1" t="n">
        <v>211.770931350949</v>
      </c>
      <c r="P143" s="1" t="n">
        <v>200.640507238792</v>
      </c>
      <c r="Q143" s="16" t="n">
        <f aca="false">ABS(K143-0.36395)/0.0012</f>
        <v>0.463243594215855</v>
      </c>
      <c r="R143" s="16" t="n">
        <f aca="false">ABS(M143-0.17355)/0.016</f>
        <v>0.255096982280999</v>
      </c>
      <c r="S143" s="17" t="n">
        <f aca="false">SQRT(Q143*Q143+R143*R143)</f>
        <v>0.528837496733066</v>
      </c>
    </row>
    <row r="144" customFormat="false" ht="12.8" hidden="false" customHeight="false" outlineLevel="0" collapsed="false">
      <c r="A144" s="4" t="s">
        <v>20</v>
      </c>
      <c r="B144" s="4" t="n">
        <v>2.7</v>
      </c>
      <c r="C144" s="4" t="n">
        <v>45</v>
      </c>
      <c r="D144" s="1" t="n">
        <v>6.89356519616601</v>
      </c>
      <c r="E144" s="4" t="n">
        <v>0</v>
      </c>
      <c r="F144" s="1" t="n">
        <v>0.85</v>
      </c>
      <c r="G144" s="4" t="n">
        <v>1E+021</v>
      </c>
      <c r="H144" s="4" t="n">
        <v>0.3</v>
      </c>
      <c r="I144" s="5" t="n">
        <v>1000000000</v>
      </c>
      <c r="J144" s="6" t="n">
        <v>1716.74135620178</v>
      </c>
      <c r="K144" s="7" t="n">
        <v>0.364591021343817</v>
      </c>
      <c r="L144" s="8" t="n">
        <v>0.139738651783252</v>
      </c>
      <c r="M144" s="7" t="n">
        <v>0.18146809692755</v>
      </c>
      <c r="N144" s="7" t="n">
        <v>-0.0021292280727416</v>
      </c>
      <c r="O144" s="1" t="n">
        <v>211.775262931756</v>
      </c>
      <c r="P144" s="1" t="n">
        <v>200.590885260253</v>
      </c>
      <c r="Q144" s="16" t="n">
        <f aca="false">ABS(K144-0.36395)/0.0012</f>
        <v>0.534184453180829</v>
      </c>
      <c r="R144" s="16" t="n">
        <f aca="false">ABS(M144-0.17355)/0.016</f>
        <v>0.494881057971875</v>
      </c>
      <c r="S144" s="17" t="n">
        <f aca="false">SQRT(Q144*Q144+R144*R144)</f>
        <v>0.728189735961352</v>
      </c>
    </row>
    <row r="145" customFormat="false" ht="12.8" hidden="false" customHeight="false" outlineLevel="0" collapsed="false">
      <c r="A145" s="4" t="s">
        <v>20</v>
      </c>
      <c r="B145" s="4" t="n">
        <v>2.8</v>
      </c>
      <c r="C145" s="4" t="n">
        <v>55</v>
      </c>
      <c r="D145" s="1" t="n">
        <v>6.89260492375871</v>
      </c>
      <c r="E145" s="4" t="n">
        <v>0</v>
      </c>
      <c r="F145" s="1" t="n">
        <v>0.85</v>
      </c>
      <c r="G145" s="4" t="n">
        <v>1E+021</v>
      </c>
      <c r="H145" s="4" t="n">
        <v>0.3</v>
      </c>
      <c r="I145" s="5" t="n">
        <v>1000000000</v>
      </c>
      <c r="J145" s="6" t="n">
        <v>1718.26708420178</v>
      </c>
      <c r="K145" s="7" t="n">
        <v>0.364510816010998</v>
      </c>
      <c r="L145" s="8" t="n">
        <v>0.13992821619973</v>
      </c>
      <c r="M145" s="7" t="n">
        <v>0.181771653018903</v>
      </c>
      <c r="N145" s="7" t="n">
        <v>-0.00212899197034011</v>
      </c>
      <c r="O145" s="1" t="n">
        <v>211.831137984585</v>
      </c>
      <c r="P145" s="1" t="n">
        <v>200.568875434334</v>
      </c>
      <c r="Q145" s="16" t="n">
        <f aca="false">ABS(K145-0.36395)/0.0012</f>
        <v>0.467346675831667</v>
      </c>
      <c r="R145" s="16" t="n">
        <f aca="false">ABS(M145-0.17355)/0.016</f>
        <v>0.513853313681437</v>
      </c>
      <c r="S145" s="17" t="n">
        <f aca="false">SQRT(Q145*Q145+R145*R145)</f>
        <v>0.694592069773548</v>
      </c>
    </row>
    <row r="146" customFormat="false" ht="12.8" hidden="false" customHeight="false" outlineLevel="0" collapsed="false">
      <c r="A146" s="4" t="s">
        <v>20</v>
      </c>
      <c r="B146" s="4" t="n">
        <v>2.9</v>
      </c>
      <c r="C146" s="4" t="n">
        <v>68</v>
      </c>
      <c r="D146" s="1" t="n">
        <v>6.89060274712336</v>
      </c>
      <c r="E146" s="4" t="n">
        <v>0</v>
      </c>
      <c r="F146" s="1" t="n">
        <v>0.85</v>
      </c>
      <c r="G146" s="4" t="n">
        <v>1E+021</v>
      </c>
      <c r="H146" s="4" t="n">
        <v>0.3</v>
      </c>
      <c r="I146" s="5" t="n">
        <v>1000000000</v>
      </c>
      <c r="J146" s="6" t="n">
        <v>1718.82676420178</v>
      </c>
      <c r="K146" s="7" t="n">
        <v>0.364502802199195</v>
      </c>
      <c r="L146" s="8" t="n">
        <v>0.140032389241046</v>
      </c>
      <c r="M146" s="7" t="n">
        <v>0.181932864507881</v>
      </c>
      <c r="N146" s="7" t="n">
        <v>-0.00212522136077048</v>
      </c>
      <c r="O146" s="1" t="n">
        <v>211.892137514577</v>
      </c>
      <c r="P146" s="1" t="n">
        <v>200.566956335665</v>
      </c>
      <c r="Q146" s="16" t="n">
        <f aca="false">ABS(K146-0.36395)/0.0012</f>
        <v>0.460668499329177</v>
      </c>
      <c r="R146" s="16" t="n">
        <f aca="false">ABS(M146-0.17355)/0.016</f>
        <v>0.523929031742561</v>
      </c>
      <c r="S146" s="17" t="n">
        <f aca="false">SQRT(Q146*Q146+R146*R146)</f>
        <v>0.697651128127013</v>
      </c>
    </row>
    <row r="147" customFormat="false" ht="12.8" hidden="false" customHeight="false" outlineLevel="0" collapsed="false">
      <c r="A147" s="4" t="s">
        <v>20</v>
      </c>
      <c r="B147" s="4" t="n">
        <v>2.7</v>
      </c>
      <c r="C147" s="4" t="n">
        <v>55</v>
      </c>
      <c r="D147" s="1" t="n">
        <v>7.04071781569997</v>
      </c>
      <c r="E147" s="4" t="n">
        <v>0</v>
      </c>
      <c r="F147" s="1" t="n">
        <v>0.75</v>
      </c>
      <c r="G147" s="4" t="n">
        <v>1E+021</v>
      </c>
      <c r="H147" s="4" t="n">
        <v>0.3</v>
      </c>
      <c r="I147" s="5" t="n">
        <v>1000000000</v>
      </c>
      <c r="J147" s="6" t="n">
        <v>1692.16470020178</v>
      </c>
      <c r="K147" s="7" t="n">
        <v>0.363595753472309</v>
      </c>
      <c r="L147" s="8" t="n">
        <v>0.135640783587228</v>
      </c>
      <c r="M147" s="7" t="n">
        <v>0.175403659821678</v>
      </c>
      <c r="N147" s="7" t="n">
        <v>-0.00202923576160971</v>
      </c>
      <c r="O147" s="1" t="n">
        <v>211.237878275653</v>
      </c>
      <c r="P147" s="1" t="n">
        <v>200.470881218277</v>
      </c>
      <c r="Q147" s="16" t="n">
        <f aca="false">ABS(K147-0.36395)/0.0012</f>
        <v>0.295205439742504</v>
      </c>
      <c r="R147" s="16" t="n">
        <f aca="false">ABS(M147-0.17355)/0.016</f>
        <v>0.115853738854874</v>
      </c>
      <c r="S147" s="17" t="n">
        <f aca="false">SQRT(Q147*Q147+R147*R147)</f>
        <v>0.317125117990074</v>
      </c>
    </row>
    <row r="148" customFormat="false" ht="12.8" hidden="false" customHeight="false" outlineLevel="0" collapsed="false">
      <c r="A148" s="4" t="s">
        <v>20</v>
      </c>
      <c r="B148" s="4" t="n">
        <v>2.7</v>
      </c>
      <c r="C148" s="4" t="n">
        <v>50</v>
      </c>
      <c r="D148" s="1" t="n">
        <v>7.03752053818405</v>
      </c>
      <c r="E148" s="4" t="n">
        <v>0</v>
      </c>
      <c r="F148" s="1" t="n">
        <v>0.75</v>
      </c>
      <c r="G148" s="4" t="n">
        <v>1E+021</v>
      </c>
      <c r="H148" s="4" t="n">
        <v>0.3</v>
      </c>
      <c r="I148" s="5" t="n">
        <v>1000000000</v>
      </c>
      <c r="J148" s="6" t="n">
        <v>1686.99494020178</v>
      </c>
      <c r="K148" s="7" t="n">
        <v>0.363950986974877</v>
      </c>
      <c r="L148" s="8" t="n">
        <v>0.135143389980736</v>
      </c>
      <c r="M148" s="7" t="n">
        <v>0.174586991887682</v>
      </c>
      <c r="N148" s="7" t="n">
        <v>-0.00201948018123782</v>
      </c>
      <c r="O148" s="1" t="n">
        <v>211.607308360663</v>
      </c>
      <c r="P148" s="1" t="n">
        <v>200.563546295407</v>
      </c>
      <c r="Q148" s="16" t="n">
        <f aca="false">ABS(K148-0.36395)/0.0012</f>
        <v>0.000822479064160886</v>
      </c>
      <c r="R148" s="16" t="n">
        <f aca="false">ABS(M148-0.17355)/0.016</f>
        <v>0.0648119929801249</v>
      </c>
      <c r="S148" s="17" t="n">
        <f aca="false">SQRT(Q148*Q148+R148*R148)</f>
        <v>0.064817211494068</v>
      </c>
    </row>
    <row r="149" customFormat="false" ht="12.8" hidden="false" customHeight="false" outlineLevel="0" collapsed="false">
      <c r="A149" s="4" t="s">
        <v>20</v>
      </c>
      <c r="B149" s="4" t="n">
        <v>2.7</v>
      </c>
      <c r="C149" s="4" t="n">
        <v>45</v>
      </c>
      <c r="D149" s="1" t="n">
        <v>7.0337342550498</v>
      </c>
      <c r="E149" s="4" t="n">
        <v>0</v>
      </c>
      <c r="F149" s="1" t="n">
        <v>0.75</v>
      </c>
      <c r="G149" s="4" t="n">
        <v>1E+021</v>
      </c>
      <c r="H149" s="4" t="n">
        <v>0.3</v>
      </c>
      <c r="I149" s="5" t="n">
        <v>1000000000</v>
      </c>
      <c r="J149" s="6" t="n">
        <v>1681.82518020178</v>
      </c>
      <c r="K149" s="7" t="n">
        <v>0.36430903973227</v>
      </c>
      <c r="L149" s="8" t="n">
        <v>0.134651582675776</v>
      </c>
      <c r="M149" s="7" t="n">
        <v>0.173778943244819</v>
      </c>
      <c r="N149" s="7" t="n">
        <v>-0.00200989428640244</v>
      </c>
      <c r="O149" s="1" t="n">
        <v>211.943230811149</v>
      </c>
      <c r="P149" s="1" t="n">
        <v>200.655009124318</v>
      </c>
      <c r="Q149" s="16" t="n">
        <f aca="false">ABS(K149-0.36395)/0.0012</f>
        <v>0.29919977689169</v>
      </c>
      <c r="R149" s="16" t="n">
        <f aca="false">ABS(M149-0.17355)/0.016</f>
        <v>0.0143089528011862</v>
      </c>
      <c r="S149" s="17" t="n">
        <f aca="false">SQRT(Q149*Q149+R149*R149)</f>
        <v>0.299541737696608</v>
      </c>
    </row>
    <row r="150" customFormat="false" ht="12.8" hidden="false" customHeight="false" outlineLevel="0" collapsed="false">
      <c r="A150" s="4" t="s">
        <v>20</v>
      </c>
      <c r="B150" s="4" t="n">
        <v>2.8</v>
      </c>
      <c r="C150" s="4" t="n">
        <v>65</v>
      </c>
      <c r="D150" s="1" t="n">
        <v>7.04068472824357</v>
      </c>
      <c r="E150" s="4" t="n">
        <v>0</v>
      </c>
      <c r="F150" s="1" t="n">
        <v>0.75</v>
      </c>
      <c r="G150" s="4" t="n">
        <v>1E+021</v>
      </c>
      <c r="H150" s="4" t="n">
        <v>0.3</v>
      </c>
      <c r="I150" s="5" t="n">
        <v>1000000000</v>
      </c>
      <c r="J150" s="6" t="n">
        <v>1691.99546820178</v>
      </c>
      <c r="K150" s="7" t="n">
        <v>0.363624597804961</v>
      </c>
      <c r="L150" s="8" t="n">
        <v>0.135654547925376</v>
      </c>
      <c r="M150" s="7" t="n">
        <v>0.175420904515118</v>
      </c>
      <c r="N150" s="7" t="n">
        <v>-0.00202468731379349</v>
      </c>
      <c r="O150" s="1" t="n">
        <v>211.266863584828</v>
      </c>
      <c r="P150" s="1" t="n">
        <v>200.479262198893</v>
      </c>
      <c r="Q150" s="16" t="n">
        <f aca="false">ABS(K150-0.36395)/0.0012</f>
        <v>0.271168495865846</v>
      </c>
      <c r="R150" s="16" t="n">
        <f aca="false">ABS(M150-0.17355)/0.016</f>
        <v>0.116931532194874</v>
      </c>
      <c r="S150" s="17" t="n">
        <f aca="false">SQRT(Q150*Q150+R150*R150)</f>
        <v>0.295305496683665</v>
      </c>
    </row>
    <row r="151" customFormat="false" ht="12.8" hidden="false" customHeight="false" outlineLevel="0" collapsed="false">
      <c r="A151" s="4" t="s">
        <v>20</v>
      </c>
      <c r="B151" s="4" t="n">
        <v>2.8</v>
      </c>
      <c r="C151" s="4" t="n">
        <v>60</v>
      </c>
      <c r="D151" s="1" t="n">
        <v>7.03976217960116</v>
      </c>
      <c r="E151" s="4" t="n">
        <v>0</v>
      </c>
      <c r="F151" s="1" t="n">
        <v>0.75</v>
      </c>
      <c r="G151" s="4" t="n">
        <v>1E+021</v>
      </c>
      <c r="H151" s="4" t="n">
        <v>0.3</v>
      </c>
      <c r="I151" s="5" t="n">
        <v>1000000000</v>
      </c>
      <c r="J151" s="6" t="n">
        <v>1687.50369220178</v>
      </c>
      <c r="K151" s="7" t="n">
        <v>0.363922622990601</v>
      </c>
      <c r="L151" s="8" t="n">
        <v>0.135214759155903</v>
      </c>
      <c r="M151" s="7" t="n">
        <v>0.174701176068229</v>
      </c>
      <c r="N151" s="7" t="n">
        <v>-0.00201631400925406</v>
      </c>
      <c r="O151" s="1" t="n">
        <v>211.538376617128</v>
      </c>
      <c r="P151" s="1" t="n">
        <v>200.558418394163</v>
      </c>
      <c r="Q151" s="16" t="n">
        <f aca="false">ABS(K151-0.36395)/0.0012</f>
        <v>0.0228141744991472</v>
      </c>
      <c r="R151" s="16" t="n">
        <f aca="false">ABS(M151-0.17355)/0.016</f>
        <v>0.0719485042643114</v>
      </c>
      <c r="S151" s="17" t="n">
        <f aca="false">SQRT(Q151*Q151+R151*R151)</f>
        <v>0.0754789627906291</v>
      </c>
    </row>
    <row r="152" customFormat="false" ht="12.8" hidden="false" customHeight="false" outlineLevel="0" collapsed="false">
      <c r="A152" s="4" t="s">
        <v>20</v>
      </c>
      <c r="B152" s="4" t="n">
        <v>2.8</v>
      </c>
      <c r="C152" s="4" t="n">
        <v>55</v>
      </c>
      <c r="D152" s="1" t="n">
        <v>7.03869420332417</v>
      </c>
      <c r="E152" s="4" t="n">
        <v>0</v>
      </c>
      <c r="F152" s="1" t="n">
        <v>0.75</v>
      </c>
      <c r="G152" s="4" t="n">
        <v>1E+021</v>
      </c>
      <c r="H152" s="4" t="n">
        <v>0.3</v>
      </c>
      <c r="I152" s="5" t="n">
        <v>1000000000</v>
      </c>
      <c r="J152" s="6" t="n">
        <v>1683.01191620178</v>
      </c>
      <c r="K152" s="7" t="n">
        <v>0.364221610442888</v>
      </c>
      <c r="L152" s="8" t="n">
        <v>0.134778841699726</v>
      </c>
      <c r="M152" s="7" t="n">
        <v>0.173987664427521</v>
      </c>
      <c r="N152" s="7" t="n">
        <v>-0.00200805053425035</v>
      </c>
      <c r="O152" s="1" t="n">
        <v>211.778181478242</v>
      </c>
      <c r="P152" s="1" t="n">
        <v>200.636593985533</v>
      </c>
      <c r="Q152" s="16" t="n">
        <f aca="false">ABS(K152-0.36395)/0.0012</f>
        <v>0.226342035739985</v>
      </c>
      <c r="R152" s="16" t="n">
        <f aca="false">ABS(M152-0.17355)/0.016</f>
        <v>0.0273540267200622</v>
      </c>
      <c r="S152" s="17" t="n">
        <f aca="false">SQRT(Q152*Q152+R152*R152)</f>
        <v>0.227988946926649</v>
      </c>
    </row>
    <row r="153" customFormat="false" ht="12.8" hidden="false" customHeight="false" outlineLevel="0" collapsed="false">
      <c r="A153" s="4" t="s">
        <v>20</v>
      </c>
      <c r="B153" s="4" t="n">
        <v>2.8</v>
      </c>
      <c r="C153" s="4" t="n">
        <v>50</v>
      </c>
      <c r="D153" s="1" t="n">
        <v>7.03748787629771</v>
      </c>
      <c r="E153" s="4" t="n">
        <v>0</v>
      </c>
      <c r="F153" s="1" t="n">
        <v>0.75</v>
      </c>
      <c r="G153" s="4" t="n">
        <v>1E+021</v>
      </c>
      <c r="H153" s="4" t="n">
        <v>0.3</v>
      </c>
      <c r="I153" s="5" t="n">
        <v>1000000000</v>
      </c>
      <c r="J153" s="6" t="n">
        <v>1678.52014020178</v>
      </c>
      <c r="K153" s="7" t="n">
        <v>0.364521499494554</v>
      </c>
      <c r="L153" s="8" t="n">
        <v>0.134346675394608</v>
      </c>
      <c r="M153" s="7" t="n">
        <v>0.173280160010641</v>
      </c>
      <c r="N153" s="7" t="n">
        <v>-0.00199989953255464</v>
      </c>
      <c r="O153" s="1" t="n">
        <v>211.873566764756</v>
      </c>
      <c r="P153" s="1" t="n">
        <v>200.71377043041</v>
      </c>
      <c r="Q153" s="16" t="n">
        <f aca="false">ABS(K153-0.36395)/0.0012</f>
        <v>0.476249578794987</v>
      </c>
      <c r="R153" s="16" t="n">
        <f aca="false">ABS(M153-0.17355)/0.016</f>
        <v>0.0168649993349378</v>
      </c>
      <c r="S153" s="17" t="n">
        <f aca="false">SQRT(Q153*Q153+R153*R153)</f>
        <v>0.476548097787589</v>
      </c>
    </row>
    <row r="154" customFormat="false" ht="12.8" hidden="false" customHeight="false" outlineLevel="0" collapsed="false">
      <c r="A154" s="4" t="s">
        <v>20</v>
      </c>
      <c r="B154" s="4" t="n">
        <v>2.9</v>
      </c>
      <c r="C154" s="4" t="n">
        <v>70</v>
      </c>
      <c r="D154" s="1" t="n">
        <v>7.03862804842158</v>
      </c>
      <c r="E154" s="4" t="n">
        <v>0</v>
      </c>
      <c r="F154" s="1" t="n">
        <v>0.75</v>
      </c>
      <c r="G154" s="4" t="n">
        <v>1E+021</v>
      </c>
      <c r="H154" s="4" t="n">
        <v>0.3</v>
      </c>
      <c r="I154" s="5" t="n">
        <v>1000000000</v>
      </c>
      <c r="J154" s="6" t="n">
        <v>1684.96151620178</v>
      </c>
      <c r="K154" s="7" t="n">
        <v>0.364113669338346</v>
      </c>
      <c r="L154" s="8" t="n">
        <v>0.135007016825169</v>
      </c>
      <c r="M154" s="7" t="n">
        <v>0.174353930713644</v>
      </c>
      <c r="N154" s="7" t="n">
        <v>-0.00200644999160859</v>
      </c>
      <c r="O154" s="1" t="n">
        <v>211.598248138847</v>
      </c>
      <c r="P154" s="1" t="n">
        <v>200.609763584549</v>
      </c>
      <c r="Q154" s="16" t="n">
        <f aca="false">ABS(K154-0.36395)/0.0012</f>
        <v>0.136391115288329</v>
      </c>
      <c r="R154" s="16" t="n">
        <f aca="false">ABS(M154-0.17355)/0.016</f>
        <v>0.0502456696027491</v>
      </c>
      <c r="S154" s="17" t="n">
        <f aca="false">SQRT(Q154*Q154+R154*R154)</f>
        <v>0.145351861506563</v>
      </c>
    </row>
    <row r="155" customFormat="false" ht="12.8" hidden="false" customHeight="false" outlineLevel="0" collapsed="false">
      <c r="A155" s="4" t="s">
        <v>20</v>
      </c>
      <c r="B155" s="4" t="n">
        <v>2.9</v>
      </c>
      <c r="C155" s="4" t="n">
        <v>65</v>
      </c>
      <c r="D155" s="1" t="n">
        <v>7.03294048511801</v>
      </c>
      <c r="E155" s="4" t="n">
        <v>0</v>
      </c>
      <c r="F155" s="1" t="n">
        <v>0.75</v>
      </c>
      <c r="G155" s="4" t="n">
        <v>1E+021</v>
      </c>
      <c r="H155" s="4" t="n">
        <v>0.3</v>
      </c>
      <c r="I155" s="5" t="n">
        <v>1000000000</v>
      </c>
      <c r="J155" s="6" t="n">
        <v>1681.48671620178</v>
      </c>
      <c r="K155" s="7" t="n">
        <v>0.364363430698571</v>
      </c>
      <c r="L155" s="8" t="n">
        <v>0.134678361783952</v>
      </c>
      <c r="M155" s="7" t="n">
        <v>0.173812175167575</v>
      </c>
      <c r="N155" s="7" t="n">
        <v>-0.00200073850301127</v>
      </c>
      <c r="O155" s="1" t="n">
        <v>211.827158236802</v>
      </c>
      <c r="P155" s="1" t="n">
        <v>200.671340735145</v>
      </c>
      <c r="Q155" s="16" t="n">
        <f aca="false">ABS(K155-0.36395)/0.0012</f>
        <v>0.344525582142522</v>
      </c>
      <c r="R155" s="16" t="n">
        <f aca="false">ABS(M155-0.17355)/0.016</f>
        <v>0.0163859479734366</v>
      </c>
      <c r="S155" s="17" t="n">
        <f aca="false">SQRT(Q155*Q155+R155*R155)</f>
        <v>0.344915027277201</v>
      </c>
    </row>
    <row r="156" customFormat="false" ht="12.8" hidden="false" customHeight="false" outlineLevel="0" collapsed="false">
      <c r="A156" s="4" t="s">
        <v>20</v>
      </c>
      <c r="B156" s="4" t="n">
        <v>2.7</v>
      </c>
      <c r="C156" s="4" t="n">
        <v>55</v>
      </c>
      <c r="D156" s="1" t="n">
        <v>7.1173643798391</v>
      </c>
      <c r="E156" s="4" t="n">
        <v>0</v>
      </c>
      <c r="F156" s="1" t="n">
        <v>0.7</v>
      </c>
      <c r="G156" s="4" t="n">
        <v>1E+021</v>
      </c>
      <c r="H156" s="4" t="n">
        <v>0.3</v>
      </c>
      <c r="I156" s="5" t="n">
        <v>1000000000</v>
      </c>
      <c r="J156" s="6" t="n">
        <v>1674.19812420178</v>
      </c>
      <c r="K156" s="7" t="n">
        <v>0.363448628527217</v>
      </c>
      <c r="L156" s="8" t="n">
        <v>0.133103999648522</v>
      </c>
      <c r="M156" s="7" t="n">
        <v>0.171577567525645</v>
      </c>
      <c r="N156" s="7" t="n">
        <v>-0.00197123106701191</v>
      </c>
      <c r="O156" s="1" t="n">
        <v>212.059880987941</v>
      </c>
      <c r="P156" s="1" t="n">
        <v>200.504630011552</v>
      </c>
      <c r="Q156" s="16" t="n">
        <f aca="false">ABS(K156-0.36395)/0.0012</f>
        <v>0.417809560652506</v>
      </c>
      <c r="R156" s="16" t="n">
        <f aca="false">ABS(M156-0.17355)/0.016</f>
        <v>0.123277029647189</v>
      </c>
      <c r="S156" s="17" t="n">
        <f aca="false">SQRT(Q156*Q156+R156*R156)</f>
        <v>0.435616867225403</v>
      </c>
    </row>
    <row r="157" customFormat="false" ht="12.8" hidden="false" customHeight="false" outlineLevel="0" collapsed="false">
      <c r="A157" s="4" t="s">
        <v>20</v>
      </c>
      <c r="B157" s="4" t="n">
        <v>2.7</v>
      </c>
      <c r="C157" s="4" t="n">
        <v>50</v>
      </c>
      <c r="D157" s="1" t="n">
        <v>7.11552344487325</v>
      </c>
      <c r="E157" s="4" t="n">
        <v>0</v>
      </c>
      <c r="F157" s="1" t="n">
        <v>0.7</v>
      </c>
      <c r="G157" s="4" t="n">
        <v>1E+021</v>
      </c>
      <c r="H157" s="4" t="n">
        <v>0.3</v>
      </c>
      <c r="I157" s="5" t="n">
        <v>1000000000</v>
      </c>
      <c r="J157" s="6" t="n">
        <v>1669.02836420178</v>
      </c>
      <c r="K157" s="7" t="n">
        <v>0.363804759468221</v>
      </c>
      <c r="L157" s="8" t="n">
        <v>0.132626659133321</v>
      </c>
      <c r="M157" s="7" t="n">
        <v>0.170792675598477</v>
      </c>
      <c r="N157" s="7" t="n">
        <v>-0.00196215095204999</v>
      </c>
      <c r="O157" s="1" t="n">
        <v>211.11089595661</v>
      </c>
      <c r="P157" s="1" t="n">
        <v>200.595363556894</v>
      </c>
      <c r="Q157" s="16" t="n">
        <f aca="false">ABS(K157-0.36395)/0.0012</f>
        <v>0.121033776482501</v>
      </c>
      <c r="R157" s="16" t="n">
        <f aca="false">ABS(M157-0.17355)/0.016</f>
        <v>0.172332775095188</v>
      </c>
      <c r="S157" s="17" t="n">
        <f aca="false">SQRT(Q157*Q157+R157*R157)</f>
        <v>0.210589079540286</v>
      </c>
    </row>
    <row r="158" customFormat="false" ht="12.8" hidden="false" customHeight="false" outlineLevel="0" collapsed="false">
      <c r="A158" s="4" t="s">
        <v>20</v>
      </c>
      <c r="B158" s="4" t="n">
        <v>2.7</v>
      </c>
      <c r="C158" s="4" t="n">
        <v>45</v>
      </c>
      <c r="D158" s="1" t="n">
        <v>7.11304648476467</v>
      </c>
      <c r="E158" s="4" t="n">
        <v>0</v>
      </c>
      <c r="F158" s="1" t="n">
        <v>0.7</v>
      </c>
      <c r="G158" s="4" t="n">
        <v>1E+021</v>
      </c>
      <c r="H158" s="4" t="n">
        <v>0.3</v>
      </c>
      <c r="I158" s="5" t="n">
        <v>1000000000</v>
      </c>
      <c r="J158" s="6" t="n">
        <v>1663.85860420179</v>
      </c>
      <c r="K158" s="7" t="n">
        <v>0.36416373796029</v>
      </c>
      <c r="L158" s="8" t="n">
        <v>0.13215476387643</v>
      </c>
      <c r="M158" s="7" t="n">
        <v>0.170016085551581</v>
      </c>
      <c r="N158" s="7" t="n">
        <v>-0.00195322845600432</v>
      </c>
      <c r="O158" s="1" t="n">
        <v>210.131504491746</v>
      </c>
      <c r="P158" s="1" t="n">
        <v>200.684902418192</v>
      </c>
      <c r="Q158" s="16" t="n">
        <f aca="false">ABS(K158-0.36395)/0.0012</f>
        <v>0.178114966908338</v>
      </c>
      <c r="R158" s="16" t="n">
        <f aca="false">ABS(M158-0.17355)/0.016</f>
        <v>0.220869653026189</v>
      </c>
      <c r="S158" s="17" t="n">
        <f aca="false">SQRT(Q158*Q158+R158*R158)</f>
        <v>0.283739925045221</v>
      </c>
    </row>
    <row r="159" customFormat="false" ht="12.8" hidden="false" customHeight="false" outlineLevel="0" collapsed="false">
      <c r="A159" s="4" t="s">
        <v>20</v>
      </c>
      <c r="B159" s="4" t="n">
        <v>2.7</v>
      </c>
      <c r="C159" s="4" t="n">
        <v>40</v>
      </c>
      <c r="D159" s="1" t="n">
        <v>7.11024938154077</v>
      </c>
      <c r="E159" s="4" t="n">
        <v>0</v>
      </c>
      <c r="F159" s="1" t="n">
        <v>0.7</v>
      </c>
      <c r="G159" s="4" t="n">
        <v>1E+021</v>
      </c>
      <c r="H159" s="4" t="n">
        <v>0.3</v>
      </c>
      <c r="I159" s="5" t="n">
        <v>1000000000</v>
      </c>
      <c r="J159" s="6" t="n">
        <v>1658.68884420179</v>
      </c>
      <c r="K159" s="7" t="n">
        <v>0.364524241484622</v>
      </c>
      <c r="L159" s="8" t="n">
        <v>0.131687836559566</v>
      </c>
      <c r="M159" s="7" t="n">
        <v>0.169247234366635</v>
      </c>
      <c r="N159" s="7" t="n">
        <v>-0.00194447495470551</v>
      </c>
      <c r="O159" s="1" t="n">
        <v>210.173235590981</v>
      </c>
      <c r="P159" s="1" t="n">
        <v>200.773182281501</v>
      </c>
      <c r="Q159" s="16" t="n">
        <f aca="false">ABS(K159-0.36395)/0.0012</f>
        <v>0.478534570518321</v>
      </c>
      <c r="R159" s="16" t="n">
        <f aca="false">ABS(M159-0.17355)/0.016</f>
        <v>0.268922852085313</v>
      </c>
      <c r="S159" s="17" t="n">
        <f aca="false">SQRT(Q159*Q159+R159*R159)</f>
        <v>0.548921520396908</v>
      </c>
    </row>
    <row r="160" customFormat="false" ht="12.8" hidden="false" customHeight="false" outlineLevel="0" collapsed="false">
      <c r="A160" s="4" t="s">
        <v>20</v>
      </c>
      <c r="B160" s="4" t="n">
        <v>2.8</v>
      </c>
      <c r="C160" s="4" t="n">
        <v>65</v>
      </c>
      <c r="D160" s="1" t="n">
        <v>7.11736871524294</v>
      </c>
      <c r="E160" s="4" t="n">
        <v>0</v>
      </c>
      <c r="F160" s="1" t="n">
        <v>0.7</v>
      </c>
      <c r="G160" s="4" t="n">
        <v>1E+021</v>
      </c>
      <c r="H160" s="4" t="n">
        <v>0.3</v>
      </c>
      <c r="I160" s="5" t="n">
        <v>1000000000</v>
      </c>
      <c r="J160" s="6" t="n">
        <v>1674.02889220178</v>
      </c>
      <c r="K160" s="7" t="n">
        <v>0.363477509431508</v>
      </c>
      <c r="L160" s="8" t="n">
        <v>0.133117208387218</v>
      </c>
      <c r="M160" s="7" t="n">
        <v>0.171594117571997</v>
      </c>
      <c r="N160" s="7" t="n">
        <v>-0.00196668840194952</v>
      </c>
      <c r="O160" s="1" t="n">
        <v>212.014958706724</v>
      </c>
      <c r="P160" s="1" t="n">
        <v>200.512720249859</v>
      </c>
      <c r="Q160" s="16" t="n">
        <f aca="false">ABS(K160-0.36395)/0.0012</f>
        <v>0.39374214041002</v>
      </c>
      <c r="R160" s="16" t="n">
        <f aca="false">ABS(M160-0.17355)/0.016</f>
        <v>0.122242651750188</v>
      </c>
      <c r="S160" s="17" t="n">
        <f aca="false">SQRT(Q160*Q160+R160*R160)</f>
        <v>0.412281625884033</v>
      </c>
    </row>
    <row r="161" customFormat="false" ht="12.8" hidden="false" customHeight="false" outlineLevel="0" collapsed="false">
      <c r="A161" s="4" t="s">
        <v>20</v>
      </c>
      <c r="B161" s="4" t="n">
        <v>2.8</v>
      </c>
      <c r="C161" s="4" t="n">
        <v>60</v>
      </c>
      <c r="D161" s="1" t="n">
        <v>7.11763511478577</v>
      </c>
      <c r="E161" s="4" t="n">
        <v>0</v>
      </c>
      <c r="F161" s="1" t="n">
        <v>0.7</v>
      </c>
      <c r="G161" s="4" t="n">
        <v>1E+021</v>
      </c>
      <c r="H161" s="4" t="n">
        <v>0.3</v>
      </c>
      <c r="I161" s="5" t="n">
        <v>1000000000</v>
      </c>
      <c r="J161" s="6" t="n">
        <v>1669.53711620178</v>
      </c>
      <c r="K161" s="7" t="n">
        <v>0.363776310770741</v>
      </c>
      <c r="L161" s="8" t="n">
        <v>0.132695045374609</v>
      </c>
      <c r="M161" s="7" t="n">
        <v>0.170902340838753</v>
      </c>
      <c r="N161" s="7" t="n">
        <v>-0.00195889310815947</v>
      </c>
      <c r="O161" s="1" t="n">
        <v>211.128552512276</v>
      </c>
      <c r="P161" s="1" t="n">
        <v>200.590237819656</v>
      </c>
      <c r="Q161" s="16" t="n">
        <f aca="false">ABS(K161-0.36395)/0.0012</f>
        <v>0.144741024382481</v>
      </c>
      <c r="R161" s="16" t="n">
        <f aca="false">ABS(M161-0.17355)/0.016</f>
        <v>0.165478697577938</v>
      </c>
      <c r="S161" s="17" t="n">
        <f aca="false">SQRT(Q161*Q161+R161*R161)</f>
        <v>0.219848046366987</v>
      </c>
    </row>
    <row r="162" customFormat="false" ht="12.8" hidden="false" customHeight="false" outlineLevel="0" collapsed="false">
      <c r="A162" s="4" t="s">
        <v>20</v>
      </c>
      <c r="B162" s="4" t="n">
        <v>2.8</v>
      </c>
      <c r="C162" s="4" t="n">
        <v>55</v>
      </c>
      <c r="D162" s="1" t="n">
        <v>7.11772204211345</v>
      </c>
      <c r="E162" s="4" t="n">
        <v>0</v>
      </c>
      <c r="F162" s="1" t="n">
        <v>0.7</v>
      </c>
      <c r="G162" s="4" t="n">
        <v>1E+021</v>
      </c>
      <c r="H162" s="4" t="n">
        <v>0.3</v>
      </c>
      <c r="I162" s="5" t="n">
        <v>1000000000</v>
      </c>
      <c r="J162" s="6" t="n">
        <v>1665.04534020178</v>
      </c>
      <c r="K162" s="7" t="n">
        <v>0.364076094733131</v>
      </c>
      <c r="L162" s="8" t="n">
        <v>0.132276641901676</v>
      </c>
      <c r="M162" s="7" t="n">
        <v>0.170216530863568</v>
      </c>
      <c r="N162" s="7" t="n">
        <v>-0.00195119821337708</v>
      </c>
      <c r="O162" s="1" t="n">
        <v>210.285914618744</v>
      </c>
      <c r="P162" s="1" t="n">
        <v>200.666780393787</v>
      </c>
      <c r="Q162" s="16" t="n">
        <f aca="false">ABS(K162-0.36395)/0.0012</f>
        <v>0.105078944275851</v>
      </c>
      <c r="R162" s="16" t="n">
        <f aca="false">ABS(M162-0.17355)/0.016</f>
        <v>0.208341821027001</v>
      </c>
      <c r="S162" s="17" t="n">
        <f aca="false">SQRT(Q162*Q162+R162*R162)</f>
        <v>0.233340735661338</v>
      </c>
    </row>
    <row r="163" customFormat="false" ht="12.8" hidden="false" customHeight="false" outlineLevel="0" collapsed="false">
      <c r="A163" s="4" t="s">
        <v>20</v>
      </c>
      <c r="B163" s="4" t="n">
        <v>2.8</v>
      </c>
      <c r="C163" s="4" t="n">
        <v>50</v>
      </c>
      <c r="D163" s="1" t="n">
        <v>7.11087703620986</v>
      </c>
      <c r="E163" s="4" t="n">
        <v>0</v>
      </c>
      <c r="F163" s="1" t="n">
        <v>0.7</v>
      </c>
      <c r="G163" s="4" t="n">
        <v>1E+021</v>
      </c>
      <c r="H163" s="4" t="n">
        <v>0.3</v>
      </c>
      <c r="I163" s="5" t="n">
        <v>1000000000</v>
      </c>
      <c r="J163" s="6" t="n">
        <v>1660.89255620179</v>
      </c>
      <c r="K163" s="7" t="n">
        <v>0.364383402006146</v>
      </c>
      <c r="L163" s="8" t="n">
        <v>0.131908146842765</v>
      </c>
      <c r="M163" s="7" t="n">
        <v>0.169606075263603</v>
      </c>
      <c r="N163" s="7" t="n">
        <v>-0.00194464317978971</v>
      </c>
      <c r="O163" s="1" t="n">
        <v>211.572764291021</v>
      </c>
      <c r="P163" s="1" t="n">
        <v>200.739573628662</v>
      </c>
      <c r="Q163" s="16" t="n">
        <f aca="false">ABS(K163-0.36395)/0.0012</f>
        <v>0.361168338455</v>
      </c>
      <c r="R163" s="16" t="n">
        <f aca="false">ABS(M163-0.17355)/0.016</f>
        <v>0.246495296024813</v>
      </c>
      <c r="S163" s="17" t="n">
        <f aca="false">SQRT(Q163*Q163+R163*R163)</f>
        <v>0.437267080472228</v>
      </c>
    </row>
    <row r="164" customFormat="false" ht="12.8" hidden="false" customHeight="false" outlineLevel="0" collapsed="false">
      <c r="A164" s="4" t="s">
        <v>20</v>
      </c>
      <c r="B164" s="4" t="n">
        <v>2.9</v>
      </c>
      <c r="C164" s="4" t="n">
        <v>70</v>
      </c>
      <c r="D164" s="1" t="n">
        <v>7.11715591951228</v>
      </c>
      <c r="E164" s="4" t="n">
        <v>0</v>
      </c>
      <c r="F164" s="1" t="n">
        <v>0.7</v>
      </c>
      <c r="G164" s="4" t="n">
        <v>1E+021</v>
      </c>
      <c r="H164" s="4" t="n">
        <v>0.3</v>
      </c>
      <c r="I164" s="5" t="n">
        <v>1000000000</v>
      </c>
      <c r="J164" s="6" t="n">
        <v>1666.99494020178</v>
      </c>
      <c r="K164" s="7" t="n">
        <v>0.363967808184782</v>
      </c>
      <c r="L164" s="8" t="n">
        <v>0.13249564237722</v>
      </c>
      <c r="M164" s="7" t="n">
        <v>0.170568453050237</v>
      </c>
      <c r="N164" s="7" t="n">
        <v>-0.00194936572023516</v>
      </c>
      <c r="O164" s="1" t="n">
        <v>211.074264416653</v>
      </c>
      <c r="P164" s="1" t="n">
        <v>200.640365300418</v>
      </c>
      <c r="Q164" s="16" t="n">
        <f aca="false">ABS(K164-0.36395)/0.0012</f>
        <v>0.0148401539850259</v>
      </c>
      <c r="R164" s="16" t="n">
        <f aca="false">ABS(M164-0.17355)/0.016</f>
        <v>0.186346684360189</v>
      </c>
      <c r="S164" s="17" t="n">
        <f aca="false">SQRT(Q164*Q164+R164*R164)</f>
        <v>0.186936665591144</v>
      </c>
    </row>
    <row r="165" customFormat="false" ht="12.8" hidden="false" customHeight="false" outlineLevel="0" collapsed="false">
      <c r="A165" s="4" t="s">
        <v>20</v>
      </c>
      <c r="B165" s="4" t="n">
        <v>2.9</v>
      </c>
      <c r="C165" s="4" t="n">
        <v>65</v>
      </c>
      <c r="D165" s="1" t="n">
        <v>7.11232509165463</v>
      </c>
      <c r="E165" s="4" t="n">
        <v>0</v>
      </c>
      <c r="F165" s="1" t="n">
        <v>0.7</v>
      </c>
      <c r="G165" s="4" t="n">
        <v>1E+021</v>
      </c>
      <c r="H165" s="4" t="n">
        <v>0.3</v>
      </c>
      <c r="I165" s="5" t="n">
        <v>1000000000</v>
      </c>
      <c r="J165" s="6" t="n">
        <v>1663.52014020178</v>
      </c>
      <c r="K165" s="7" t="n">
        <v>0.364218200733805</v>
      </c>
      <c r="L165" s="8" t="n">
        <v>0.132180492861432</v>
      </c>
      <c r="M165" s="7" t="n">
        <v>0.170048043633526</v>
      </c>
      <c r="N165" s="7" t="n">
        <v>-0.00194406898980926</v>
      </c>
      <c r="O165" s="1" t="n">
        <v>210.941805384413</v>
      </c>
      <c r="P165" s="1" t="n">
        <v>200.700671456756</v>
      </c>
      <c r="Q165" s="16" t="n">
        <f aca="false">ABS(K165-0.36395)/0.0012</f>
        <v>0.223500611504178</v>
      </c>
      <c r="R165" s="16" t="n">
        <f aca="false">ABS(M165-0.17355)/0.016</f>
        <v>0.218872272904626</v>
      </c>
      <c r="S165" s="17" t="n">
        <f aca="false">SQRT(Q165*Q165+R165*R165)</f>
        <v>0.312821986422276</v>
      </c>
    </row>
    <row r="166" customFormat="false" ht="12.8" hidden="false" customHeight="false" outlineLevel="0" collapsed="false">
      <c r="A166" s="4" t="s">
        <v>20</v>
      </c>
      <c r="B166" s="4" t="n">
        <v>2.9</v>
      </c>
      <c r="C166" s="4" t="n">
        <v>60</v>
      </c>
      <c r="D166" s="1" t="n">
        <v>7.11427693435449</v>
      </c>
      <c r="E166" s="4" t="n">
        <v>0</v>
      </c>
      <c r="F166" s="1" t="n">
        <v>0.7</v>
      </c>
      <c r="G166" s="4" t="n">
        <v>1E+021</v>
      </c>
      <c r="H166" s="4" t="n">
        <v>0.3</v>
      </c>
      <c r="I166" s="5" t="n">
        <v>1000000000</v>
      </c>
      <c r="J166" s="6" t="n">
        <v>1659.70634820178</v>
      </c>
      <c r="K166" s="7" t="n">
        <v>0.36446256279072</v>
      </c>
      <c r="L166" s="8" t="n">
        <v>0.131821218485496</v>
      </c>
      <c r="M166" s="7" t="n">
        <v>0.169461476757618</v>
      </c>
      <c r="N166" s="7" t="n">
        <v>-0.00193778209334122</v>
      </c>
      <c r="O166" s="1" t="n">
        <v>210.43456305889</v>
      </c>
      <c r="P166" s="1" t="n">
        <v>200.763144526876</v>
      </c>
      <c r="Q166" s="16" t="n">
        <f aca="false">ABS(K166-0.36395)/0.0012</f>
        <v>0.42713565893332</v>
      </c>
      <c r="R166" s="16" t="n">
        <f aca="false">ABS(M166-0.17355)/0.016</f>
        <v>0.255532702648876</v>
      </c>
      <c r="S166" s="17" t="n">
        <f aca="false">SQRT(Q166*Q166+R166*R166)</f>
        <v>0.497736710777335</v>
      </c>
    </row>
    <row r="167" customFormat="false" ht="12.8" hidden="false" customHeight="false" outlineLevel="0" collapsed="false">
      <c r="A167" s="4" t="s">
        <v>20</v>
      </c>
      <c r="B167" s="4" t="n">
        <v>2.7</v>
      </c>
      <c r="C167" s="4" t="n">
        <v>50</v>
      </c>
      <c r="D167" s="1" t="n">
        <v>7.19983083514789</v>
      </c>
      <c r="E167" s="4" t="n">
        <v>0</v>
      </c>
      <c r="F167" s="1" t="n">
        <v>0.65</v>
      </c>
      <c r="G167" s="4" t="n">
        <v>1E+021</v>
      </c>
      <c r="H167" s="4" t="n">
        <v>0.3</v>
      </c>
      <c r="I167" s="5" t="n">
        <v>1000000000</v>
      </c>
      <c r="J167" s="6" t="n">
        <v>1650.72279620179</v>
      </c>
      <c r="K167" s="7" t="n">
        <v>0.363656018835153</v>
      </c>
      <c r="L167" s="8" t="n">
        <v>0.130144163561757</v>
      </c>
      <c r="M167" s="7" t="n">
        <v>0.167056502284167</v>
      </c>
      <c r="N167" s="7" t="n">
        <v>-0.00190661075230253</v>
      </c>
      <c r="O167" s="1" t="n">
        <v>210.756280896032</v>
      </c>
      <c r="P167" s="1" t="n">
        <v>200.625454806963</v>
      </c>
      <c r="Q167" s="16" t="n">
        <f aca="false">ABS(K167-0.36395)/0.0012</f>
        <v>0.24498430403914</v>
      </c>
      <c r="R167" s="16" t="n">
        <f aca="false">ABS(M167-0.17355)/0.016</f>
        <v>0.405843607239564</v>
      </c>
      <c r="S167" s="17" t="n">
        <f aca="false">SQRT(Q167*Q167+R167*R167)</f>
        <v>0.474053101205723</v>
      </c>
    </row>
    <row r="168" customFormat="false" ht="12.8" hidden="false" customHeight="false" outlineLevel="0" collapsed="false">
      <c r="A168" s="4" t="s">
        <v>20</v>
      </c>
      <c r="B168" s="4" t="n">
        <v>2.7</v>
      </c>
      <c r="C168" s="4" t="n">
        <v>45</v>
      </c>
      <c r="D168" s="1" t="n">
        <v>7.19532526402241</v>
      </c>
      <c r="E168" s="4" t="n">
        <v>0</v>
      </c>
      <c r="F168" s="1" t="n">
        <v>0.65</v>
      </c>
      <c r="G168" s="4" t="n">
        <v>1E+021</v>
      </c>
      <c r="H168" s="4" t="n">
        <v>0.3</v>
      </c>
      <c r="I168" s="5" t="n">
        <v>1000000000</v>
      </c>
      <c r="J168" s="6" t="n">
        <v>1645.71895994362</v>
      </c>
      <c r="K168" s="7" t="n">
        <v>0.364019198335624</v>
      </c>
      <c r="L168" s="8" t="n">
        <v>0.129725283700607</v>
      </c>
      <c r="M168" s="7" t="n">
        <v>0.166382733492181</v>
      </c>
      <c r="N168" s="7" t="n">
        <v>-0.00189704801678325</v>
      </c>
      <c r="O168" s="1" t="n">
        <v>211.178499879112</v>
      </c>
      <c r="P168" s="1" t="n">
        <v>200.71369453469</v>
      </c>
      <c r="Q168" s="16" t="n">
        <f aca="false">ABS(K168-0.36395)/0.0012</f>
        <v>0.0576652796866843</v>
      </c>
      <c r="R168" s="16" t="n">
        <f aca="false">ABS(M168-0.17355)/0.016</f>
        <v>0.447954156738688</v>
      </c>
      <c r="S168" s="17" t="n">
        <f aca="false">SQRT(Q168*Q168+R168*R168)</f>
        <v>0.451650540817581</v>
      </c>
    </row>
    <row r="169" customFormat="false" ht="12.8" hidden="false" customHeight="false" outlineLevel="0" collapsed="false">
      <c r="A169" s="4" t="s">
        <v>20</v>
      </c>
      <c r="B169" s="4" t="n">
        <v>2.8</v>
      </c>
      <c r="C169" s="4" t="n">
        <v>60</v>
      </c>
      <c r="D169" s="1" t="n">
        <v>7.20181168292759</v>
      </c>
      <c r="E169" s="4" t="n">
        <v>0</v>
      </c>
      <c r="F169" s="1" t="n">
        <v>0.65</v>
      </c>
      <c r="G169" s="4" t="n">
        <v>1E+021</v>
      </c>
      <c r="H169" s="4" t="n">
        <v>0.3</v>
      </c>
      <c r="I169" s="5" t="n">
        <v>1000000000</v>
      </c>
      <c r="J169" s="6" t="n">
        <v>1651.23154820179</v>
      </c>
      <c r="K169" s="7" t="n">
        <v>0.363627477583795</v>
      </c>
      <c r="L169" s="8" t="n">
        <v>0.130209614065863</v>
      </c>
      <c r="M169" s="7" t="n">
        <v>0.167161714406226</v>
      </c>
      <c r="N169" s="7" t="n">
        <v>-0.00190328256917358</v>
      </c>
      <c r="O169" s="1" t="n">
        <v>210.745538749316</v>
      </c>
      <c r="P169" s="1" t="n">
        <v>200.620337934874</v>
      </c>
      <c r="Q169" s="16" t="n">
        <f aca="false">ABS(K169-0.36395)/0.0012</f>
        <v>0.268768680170839</v>
      </c>
      <c r="R169" s="16" t="n">
        <f aca="false">ABS(M169-0.17355)/0.016</f>
        <v>0.399267849610876</v>
      </c>
      <c r="S169" s="17" t="n">
        <f aca="false">SQRT(Q169*Q169+R169*R169)</f>
        <v>0.481301796354084</v>
      </c>
    </row>
    <row r="170" customFormat="false" ht="12.8" hidden="false" customHeight="false" outlineLevel="0" collapsed="false">
      <c r="A170" s="4" t="s">
        <v>20</v>
      </c>
      <c r="B170" s="4" t="n">
        <v>2.8</v>
      </c>
      <c r="C170" s="4" t="n">
        <v>55</v>
      </c>
      <c r="D170" s="1" t="n">
        <v>7.19694309036296</v>
      </c>
      <c r="E170" s="4" t="n">
        <v>0</v>
      </c>
      <c r="F170" s="1" t="n">
        <v>0.65</v>
      </c>
      <c r="G170" s="4" t="n">
        <v>1E+021</v>
      </c>
      <c r="H170" s="4" t="n">
        <v>0.3</v>
      </c>
      <c r="I170" s="5" t="n">
        <v>1000000000</v>
      </c>
      <c r="J170" s="6" t="n">
        <v>1647.04008158523</v>
      </c>
      <c r="K170" s="7" t="n">
        <v>0.363933977379885</v>
      </c>
      <c r="L170" s="8" t="n">
        <v>0.129847291910216</v>
      </c>
      <c r="M170" s="7" t="n">
        <v>0.166571260278914</v>
      </c>
      <c r="N170" s="7" t="n">
        <v>-0.00189625795147558</v>
      </c>
      <c r="O170" s="1" t="n">
        <v>210.472028369796</v>
      </c>
      <c r="P170" s="1" t="n">
        <v>200.69260581142</v>
      </c>
      <c r="Q170" s="16" t="n">
        <f aca="false">ABS(K170-0.36395)/0.0012</f>
        <v>0.0133521834291828</v>
      </c>
      <c r="R170" s="16" t="n">
        <f aca="false">ABS(M170-0.17355)/0.016</f>
        <v>0.436171232567876</v>
      </c>
      <c r="S170" s="17" t="n">
        <f aca="false">SQRT(Q170*Q170+R170*R170)</f>
        <v>0.436375554908964</v>
      </c>
    </row>
    <row r="171" customFormat="false" ht="12.8" hidden="false" customHeight="false" outlineLevel="0" collapsed="false">
      <c r="A171" s="4" t="s">
        <v>20</v>
      </c>
      <c r="B171" s="4" t="n">
        <v>2.8</v>
      </c>
      <c r="C171" s="4" t="n">
        <v>50</v>
      </c>
      <c r="D171" s="1" t="n">
        <v>7.1960588185294</v>
      </c>
      <c r="E171" s="4" t="n">
        <v>0</v>
      </c>
      <c r="F171" s="1" t="n">
        <v>0.65</v>
      </c>
      <c r="G171" s="4" t="n">
        <v>1E+021</v>
      </c>
      <c r="H171" s="4" t="n">
        <v>0.3</v>
      </c>
      <c r="I171" s="5" t="n">
        <v>1000000000</v>
      </c>
      <c r="J171" s="6" t="n">
        <v>1642.64886389695</v>
      </c>
      <c r="K171" s="7" t="n">
        <v>0.364237380265682</v>
      </c>
      <c r="L171" s="8" t="n">
        <v>0.129486123448579</v>
      </c>
      <c r="M171" s="7" t="n">
        <v>0.166002948586367</v>
      </c>
      <c r="N171" s="7" t="n">
        <v>-0.0018949929096469</v>
      </c>
      <c r="O171" s="1" t="n">
        <v>211.611690017381</v>
      </c>
      <c r="P171" s="1" t="n">
        <v>200.76985765941</v>
      </c>
      <c r="Q171" s="16" t="n">
        <f aca="false">ABS(K171-0.36395)/0.0012</f>
        <v>0.239483554734983</v>
      </c>
      <c r="R171" s="16" t="n">
        <f aca="false">ABS(M171-0.17355)/0.016</f>
        <v>0.471690713352064</v>
      </c>
      <c r="S171" s="17" t="n">
        <f aca="false">SQRT(Q171*Q171+R171*R171)</f>
        <v>0.52900331005683</v>
      </c>
    </row>
    <row r="172" customFormat="false" ht="12.8" hidden="false" customHeight="false" outlineLevel="0" collapsed="false">
      <c r="A172" s="4" t="s">
        <v>20</v>
      </c>
      <c r="B172" s="4" t="n">
        <v>2.9</v>
      </c>
      <c r="C172" s="4" t="n">
        <v>70</v>
      </c>
      <c r="D172" s="1" t="n">
        <v>7.19913233742694</v>
      </c>
      <c r="E172" s="4" t="n">
        <v>0</v>
      </c>
      <c r="F172" s="1" t="n">
        <v>0.65</v>
      </c>
      <c r="G172" s="4" t="n">
        <v>1E+021</v>
      </c>
      <c r="H172" s="4" t="n">
        <v>0.3</v>
      </c>
      <c r="I172" s="5" t="n">
        <v>1000000000</v>
      </c>
      <c r="J172" s="6" t="n">
        <v>1648.8288170064</v>
      </c>
      <c r="K172" s="7" t="n">
        <v>0.363822202543483</v>
      </c>
      <c r="L172" s="8" t="n">
        <v>0.130036257991419</v>
      </c>
      <c r="M172" s="7" t="n">
        <v>0.16692485275812</v>
      </c>
      <c r="N172" s="7" t="n">
        <v>-0.00188876647349567</v>
      </c>
      <c r="O172" s="1" t="n">
        <v>209.493391091029</v>
      </c>
      <c r="P172" s="1" t="n">
        <v>200.667964753596</v>
      </c>
      <c r="Q172" s="16" t="n">
        <f aca="false">ABS(K172-0.36395)/0.0012</f>
        <v>0.106497880430813</v>
      </c>
      <c r="R172" s="16" t="n">
        <f aca="false">ABS(M172-0.17355)/0.016</f>
        <v>0.414071702617501</v>
      </c>
      <c r="S172" s="17" t="n">
        <f aca="false">SQRT(Q172*Q172+R172*R172)</f>
        <v>0.42754786099899</v>
      </c>
    </row>
    <row r="173" s="15" customFormat="true" ht="12.8" hidden="false" customHeight="false" outlineLevel="0" collapsed="false">
      <c r="A173" s="9" t="s">
        <v>20</v>
      </c>
      <c r="B173" s="9" t="n">
        <v>2.9</v>
      </c>
      <c r="C173" s="9" t="n">
        <v>65</v>
      </c>
      <c r="D173" s="10" t="n">
        <v>7.19481242641711</v>
      </c>
      <c r="E173" s="9" t="n">
        <v>0</v>
      </c>
      <c r="F173" s="10" t="n">
        <v>0.65</v>
      </c>
      <c r="G173" s="9" t="n">
        <v>1E+021</v>
      </c>
      <c r="H173" s="9" t="n">
        <v>0.3</v>
      </c>
      <c r="I173" s="11" t="n">
        <v>1000000000</v>
      </c>
      <c r="J173" s="12" t="n">
        <v>1645.37402071934</v>
      </c>
      <c r="K173" s="13" t="n">
        <v>0.364073606758773</v>
      </c>
      <c r="L173" s="14" t="n">
        <v>0.12973752042747</v>
      </c>
      <c r="M173" s="13" t="n">
        <v>0.166413282201687</v>
      </c>
      <c r="N173" s="13" t="n">
        <v>-0.00188557978115878</v>
      </c>
      <c r="O173" s="10" t="n">
        <v>210.925967368423</v>
      </c>
      <c r="P173" s="10" t="n">
        <v>200.726958866063</v>
      </c>
      <c r="Q173" s="16" t="n">
        <f aca="false">ABS(K173-0.36395)/0.0012</f>
        <v>0.103005632310823</v>
      </c>
      <c r="R173" s="16" t="n">
        <f aca="false">ABS(M173-0.17355)/0.016</f>
        <v>0.446044862394563</v>
      </c>
      <c r="S173" s="17" t="n">
        <f aca="false">SQRT(Q173*Q173+R173*R173)</f>
        <v>0.457783987876747</v>
      </c>
    </row>
    <row r="174" customFormat="false" ht="12.8" hidden="false" customHeight="false" outlineLevel="0" collapsed="false">
      <c r="A174" s="4" t="s">
        <v>21</v>
      </c>
      <c r="B174" s="4" t="n">
        <v>2.7</v>
      </c>
      <c r="C174" s="4" t="n">
        <v>65</v>
      </c>
      <c r="D174" s="1" t="n">
        <v>6.9618366970892</v>
      </c>
      <c r="E174" s="4" t="n">
        <v>0</v>
      </c>
      <c r="F174" s="1" t="n">
        <v>0.8</v>
      </c>
      <c r="G174" s="4" t="n">
        <v>1E+021</v>
      </c>
      <c r="H174" s="4" t="n">
        <v>0.3</v>
      </c>
      <c r="I174" s="5" t="n">
        <v>1000000000</v>
      </c>
      <c r="J174" s="6" t="n">
        <v>1687.92756420178</v>
      </c>
      <c r="K174" s="7" t="n">
        <v>0.363961694538034</v>
      </c>
      <c r="L174" s="8" t="n">
        <v>0.135059590375878</v>
      </c>
      <c r="M174" s="7" t="n">
        <v>0.174358818497967</v>
      </c>
      <c r="N174" s="7" t="n">
        <v>-0.0019568238418291</v>
      </c>
      <c r="O174" s="1" t="n">
        <v>211.893558072659</v>
      </c>
      <c r="P174" s="1" t="n">
        <v>200.640576932856</v>
      </c>
      <c r="Q174" s="16" t="n">
        <f aca="false">ABS(K174-0.36395)/0.0012</f>
        <v>0.00974544836167731</v>
      </c>
      <c r="R174" s="16" t="n">
        <f aca="false">ABS(M174-0.17355)/0.016</f>
        <v>0.0505511561229369</v>
      </c>
      <c r="S174" s="17" t="n">
        <f aca="false">SQRT(Q174*Q174+R174*R174)</f>
        <v>0.0514819691652879</v>
      </c>
    </row>
    <row r="175" customFormat="false" ht="12.8" hidden="false" customHeight="false" outlineLevel="0" collapsed="false">
      <c r="A175" s="4" t="s">
        <v>21</v>
      </c>
      <c r="B175" s="4" t="n">
        <v>2.7</v>
      </c>
      <c r="C175" s="4" t="n">
        <v>70</v>
      </c>
      <c r="D175" s="1" t="n">
        <v>6.96723632950978</v>
      </c>
      <c r="E175" s="4" t="n">
        <v>0</v>
      </c>
      <c r="F175" s="1" t="n">
        <v>0.8</v>
      </c>
      <c r="G175" s="4" t="n">
        <v>1E+021</v>
      </c>
      <c r="H175" s="4" t="n">
        <v>0.3</v>
      </c>
      <c r="I175" s="5" t="n">
        <v>1000000000</v>
      </c>
      <c r="J175" s="6" t="n">
        <v>1693.09732420178</v>
      </c>
      <c r="K175" s="7" t="n">
        <v>0.363615483945252</v>
      </c>
      <c r="L175" s="8" t="n">
        <v>0.13556070722531</v>
      </c>
      <c r="M175" s="7" t="n">
        <v>0.175175032023397</v>
      </c>
      <c r="N175" s="7" t="n">
        <v>-0.00196608970307138</v>
      </c>
      <c r="O175" s="1" t="n">
        <v>211.568620169507</v>
      </c>
      <c r="P175" s="1" t="n">
        <v>200.550145285756</v>
      </c>
      <c r="Q175" s="16" t="n">
        <f aca="false">ABS(K175-0.36395)/0.0012</f>
        <v>0.278763378956659</v>
      </c>
      <c r="R175" s="16" t="n">
        <f aca="false">ABS(M175-0.17355)/0.016</f>
        <v>0.101564501462311</v>
      </c>
      <c r="S175" s="17" t="n">
        <f aca="false">SQRT(Q175*Q175+R175*R175)</f>
        <v>0.296689011263683</v>
      </c>
    </row>
    <row r="176" customFormat="false" ht="12.8" hidden="false" customHeight="false" outlineLevel="0" collapsed="false">
      <c r="A176" s="4" t="s">
        <v>21</v>
      </c>
      <c r="B176" s="4" t="n">
        <v>2.7</v>
      </c>
      <c r="C176" s="4" t="n">
        <v>60</v>
      </c>
      <c r="D176" s="1" t="n">
        <v>6.96191563458105</v>
      </c>
      <c r="E176" s="4" t="n">
        <v>0</v>
      </c>
      <c r="F176" s="1" t="n">
        <v>0.8</v>
      </c>
      <c r="G176" s="4" t="n">
        <v>1E+021</v>
      </c>
      <c r="H176" s="4" t="n">
        <v>0.3</v>
      </c>
      <c r="I176" s="5" t="n">
        <v>1000000000</v>
      </c>
      <c r="J176" s="6" t="n">
        <v>1682.41881220178</v>
      </c>
      <c r="K176" s="7" t="n">
        <v>0.364305626811399</v>
      </c>
      <c r="L176" s="8" t="n">
        <v>0.134516556702994</v>
      </c>
      <c r="M176" s="7" t="n">
        <v>0.17347948469218</v>
      </c>
      <c r="N176" s="7" t="n">
        <v>-0.00194672352445413</v>
      </c>
      <c r="O176" s="1" t="n">
        <v>211.224783595617</v>
      </c>
      <c r="P176" s="1" t="n">
        <v>200.732706299702</v>
      </c>
      <c r="Q176" s="16" t="n">
        <f aca="false">ABS(K176-0.36395)/0.0012</f>
        <v>0.296355676165834</v>
      </c>
      <c r="R176" s="16" t="n">
        <f aca="false">ABS(M176-0.17355)/0.016</f>
        <v>0.00440720673875079</v>
      </c>
      <c r="S176" s="17" t="n">
        <f aca="false">SQRT(Q176*Q176+R176*R176)</f>
        <v>0.296388444894444</v>
      </c>
    </row>
    <row r="177" customFormat="false" ht="12.8" hidden="false" customHeight="false" outlineLevel="0" collapsed="false">
      <c r="A177" s="4" t="s">
        <v>21</v>
      </c>
      <c r="B177" s="4" t="n">
        <v>2.8</v>
      </c>
      <c r="C177" s="4" t="n">
        <v>70</v>
      </c>
      <c r="D177" s="1" t="n">
        <v>6.95788680898346</v>
      </c>
      <c r="E177" s="4" t="n">
        <v>0</v>
      </c>
      <c r="F177" s="1" t="n">
        <v>0.8</v>
      </c>
      <c r="G177" s="4" t="n">
        <v>1E+021</v>
      </c>
      <c r="H177" s="4" t="n">
        <v>0.3</v>
      </c>
      <c r="I177" s="5" t="n">
        <v>1000000000</v>
      </c>
      <c r="J177" s="6" t="n">
        <v>1681.23260420178</v>
      </c>
      <c r="K177" s="7" t="n">
        <v>0.364417337876777</v>
      </c>
      <c r="L177" s="8" t="n">
        <v>0.134431067358623</v>
      </c>
      <c r="M177" s="7" t="n">
        <v>0.173331553879645</v>
      </c>
      <c r="N177" s="7" t="n">
        <v>-0.00193993194855868</v>
      </c>
      <c r="O177" s="1" t="n">
        <v>211.842865889231</v>
      </c>
      <c r="P177" s="1" t="n">
        <v>200.757969458773</v>
      </c>
      <c r="Q177" s="16" t="n">
        <f aca="false">ABS(K177-0.36395)/0.0012</f>
        <v>0.389448230647497</v>
      </c>
      <c r="R177" s="16" t="n">
        <f aca="false">ABS(M177-0.17355)/0.016</f>
        <v>0.0136528825221884</v>
      </c>
      <c r="S177" s="17" t="n">
        <f aca="false">SQRT(Q177*Q177+R177*R177)</f>
        <v>0.38968747164315</v>
      </c>
    </row>
    <row r="178" customFormat="false" ht="12.8" hidden="false" customHeight="false" outlineLevel="0" collapsed="false">
      <c r="A178" s="4" t="s">
        <v>21</v>
      </c>
      <c r="B178" s="4" t="n">
        <v>2.7</v>
      </c>
      <c r="C178" s="4" t="n">
        <v>70</v>
      </c>
      <c r="D178" s="1" t="n">
        <v>6.89515632117481</v>
      </c>
      <c r="E178" s="4" t="n">
        <v>0</v>
      </c>
      <c r="F178" s="1" t="n">
        <v>0.85</v>
      </c>
      <c r="G178" s="4" t="n">
        <v>1E+021</v>
      </c>
      <c r="H178" s="4" t="n">
        <v>0.3</v>
      </c>
      <c r="I178" s="5" t="n">
        <v>1000000000</v>
      </c>
      <c r="J178" s="6" t="n">
        <v>1710.72490820178</v>
      </c>
      <c r="K178" s="7" t="n">
        <v>0.363757588977417</v>
      </c>
      <c r="L178" s="8" t="n">
        <v>0.138131020149652</v>
      </c>
      <c r="M178" s="7" t="n">
        <v>0.179041847120745</v>
      </c>
      <c r="N178" s="7" t="n">
        <v>-0.00202299488663607</v>
      </c>
      <c r="O178" s="1" t="n">
        <v>211.37505317201</v>
      </c>
      <c r="P178" s="1" t="n">
        <v>200.513300261253</v>
      </c>
      <c r="Q178" s="16" t="n">
        <f aca="false">ABS(K178-0.36395)/0.0012</f>
        <v>0.160342518819162</v>
      </c>
      <c r="R178" s="16" t="n">
        <f aca="false">ABS(M178-0.17355)/0.016</f>
        <v>0.343240445046562</v>
      </c>
      <c r="S178" s="17" t="n">
        <f aca="false">SQRT(Q178*Q178+R178*R178)</f>
        <v>0.378845253971903</v>
      </c>
    </row>
    <row r="179" customFormat="false" ht="12.8" hidden="false" customHeight="false" outlineLevel="0" collapsed="false">
      <c r="A179" s="4" t="s">
        <v>21</v>
      </c>
      <c r="B179" s="4" t="n">
        <v>2.7</v>
      </c>
      <c r="C179" s="4" t="n">
        <v>65</v>
      </c>
      <c r="D179" s="1" t="n">
        <v>6.8948703110835</v>
      </c>
      <c r="E179" s="4" t="n">
        <v>0</v>
      </c>
      <c r="F179" s="1" t="n">
        <v>0.85</v>
      </c>
      <c r="G179" s="4" t="n">
        <v>1E+021</v>
      </c>
      <c r="H179" s="4" t="n">
        <v>0.3</v>
      </c>
      <c r="I179" s="5" t="n">
        <v>1000000000</v>
      </c>
      <c r="J179" s="6" t="n">
        <v>1705.21615620178</v>
      </c>
      <c r="K179" s="7" t="n">
        <v>0.364096357407014</v>
      </c>
      <c r="L179" s="8" t="n">
        <v>0.13755976796807</v>
      </c>
      <c r="M179" s="7" t="n">
        <v>0.178118738589775</v>
      </c>
      <c r="N179" s="7" t="n">
        <v>-0.00201197520531485</v>
      </c>
      <c r="O179" s="1" t="n">
        <v>211.661261679948</v>
      </c>
      <c r="P179" s="1" t="n">
        <v>200.608644638913</v>
      </c>
      <c r="Q179" s="16" t="n">
        <f aca="false">ABS(K179-0.36395)/0.0012</f>
        <v>0.121964505845016</v>
      </c>
      <c r="R179" s="16" t="n">
        <f aca="false">ABS(M179-0.17355)/0.016</f>
        <v>0.285546161860937</v>
      </c>
      <c r="S179" s="17" t="n">
        <f aca="false">SQRT(Q179*Q179+R179*R179)</f>
        <v>0.310502739504069</v>
      </c>
    </row>
    <row r="180" customFormat="false" ht="12.8" hidden="false" customHeight="false" outlineLevel="0" collapsed="false">
      <c r="A180" s="4" t="s">
        <v>21</v>
      </c>
      <c r="B180" s="4" t="n">
        <v>2.7</v>
      </c>
      <c r="C180" s="4" t="n">
        <v>60</v>
      </c>
      <c r="D180" s="1" t="n">
        <v>6.88731735238365</v>
      </c>
      <c r="E180" s="4" t="n">
        <v>0</v>
      </c>
      <c r="F180" s="1" t="n">
        <v>0.85</v>
      </c>
      <c r="G180" s="4" t="n">
        <v>1E+021</v>
      </c>
      <c r="H180" s="4" t="n">
        <v>0.3</v>
      </c>
      <c r="I180" s="5" t="n">
        <v>1000000000</v>
      </c>
      <c r="J180" s="6" t="n">
        <v>1700.04639620178</v>
      </c>
      <c r="K180" s="7" t="n">
        <v>0.364445964982648</v>
      </c>
      <c r="L180" s="8" t="n">
        <v>0.1370451625802</v>
      </c>
      <c r="M180" s="7" t="n">
        <v>0.177280712999294</v>
      </c>
      <c r="N180" s="7" t="n">
        <v>-0.00200229147204878</v>
      </c>
      <c r="O180" s="1" t="n">
        <v>211.387575409233</v>
      </c>
      <c r="P180" s="1" t="n">
        <v>200.69988519578</v>
      </c>
      <c r="Q180" s="16" t="n">
        <f aca="false">ABS(K180-0.36395)/0.0012</f>
        <v>0.413304152206649</v>
      </c>
      <c r="R180" s="16" t="n">
        <f aca="false">ABS(M180-0.17355)/0.016</f>
        <v>0.233169562455874</v>
      </c>
      <c r="S180" s="17" t="n">
        <f aca="false">SQRT(Q180*Q180+R180*R180)</f>
        <v>0.47454016382928</v>
      </c>
    </row>
    <row r="181" customFormat="false" ht="12.8" hidden="false" customHeight="false" outlineLevel="0" collapsed="false">
      <c r="A181" s="4" t="s">
        <v>21</v>
      </c>
      <c r="B181" s="4" t="n">
        <v>2.8</v>
      </c>
      <c r="C181" s="4" t="n">
        <v>70</v>
      </c>
      <c r="D181" s="1" t="n">
        <v>6.88932756569239</v>
      </c>
      <c r="E181" s="4" t="n">
        <v>0</v>
      </c>
      <c r="F181" s="1" t="n">
        <v>0.85</v>
      </c>
      <c r="G181" s="4" t="n">
        <v>1E+021</v>
      </c>
      <c r="H181" s="4" t="n">
        <v>0.3</v>
      </c>
      <c r="I181" s="5" t="n">
        <v>1000000000</v>
      </c>
      <c r="J181" s="6" t="n">
        <v>1698.52119620178</v>
      </c>
      <c r="K181" s="7" t="n">
        <v>0.364550975081759</v>
      </c>
      <c r="L181" s="8" t="n">
        <v>0.136906597153866</v>
      </c>
      <c r="M181" s="7" t="n">
        <v>0.177052469258322</v>
      </c>
      <c r="N181" s="7" t="n">
        <v>-0.00199426076233744</v>
      </c>
      <c r="O181" s="1" t="n">
        <v>211.525994811695</v>
      </c>
      <c r="P181" s="1" t="n">
        <v>200.728617813646</v>
      </c>
      <c r="Q181" s="16" t="n">
        <f aca="false">ABS(K181-0.36395)/0.0012</f>
        <v>0.500812568132493</v>
      </c>
      <c r="R181" s="16" t="n">
        <f aca="false">ABS(M181-0.17355)/0.016</f>
        <v>0.218904328645124</v>
      </c>
      <c r="S181" s="17" t="n">
        <f aca="false">SQRT(Q181*Q181+R181*R181)</f>
        <v>0.546564116549043</v>
      </c>
    </row>
    <row r="182" customFormat="false" ht="12.8" hidden="false" customHeight="false" outlineLevel="0" collapsed="false">
      <c r="A182" s="4" t="s">
        <v>21</v>
      </c>
      <c r="B182" s="4" t="n">
        <v>2.7</v>
      </c>
      <c r="C182" s="4" t="n">
        <v>60</v>
      </c>
      <c r="D182" s="1" t="n">
        <v>6.82513004964158</v>
      </c>
      <c r="E182" s="4" t="n">
        <v>0</v>
      </c>
      <c r="F182" s="1" t="n">
        <v>0.9</v>
      </c>
      <c r="G182" s="4" t="n">
        <v>1E+021</v>
      </c>
      <c r="H182" s="4" t="n">
        <v>0.3</v>
      </c>
      <c r="I182" s="5" t="n">
        <v>1000000000</v>
      </c>
      <c r="J182" s="6" t="n">
        <v>1716.99599620178</v>
      </c>
      <c r="K182" s="7" t="n">
        <v>0.364576583295032</v>
      </c>
      <c r="L182" s="8" t="n">
        <v>0.139552043700251</v>
      </c>
      <c r="M182" s="7" t="n">
        <v>0.181055667434375</v>
      </c>
      <c r="N182" s="7" t="n">
        <v>-0.00205849965719873</v>
      </c>
      <c r="O182" s="1" t="n">
        <v>213.025303974575</v>
      </c>
      <c r="P182" s="1" t="n">
        <v>200.668630868819</v>
      </c>
      <c r="Q182" s="16" t="n">
        <f aca="false">ABS(K182-0.36395)/0.0012</f>
        <v>0.522152745860011</v>
      </c>
      <c r="R182" s="16" t="n">
        <f aca="false">ABS(M182-0.17355)/0.016</f>
        <v>0.469104214648438</v>
      </c>
      <c r="S182" s="17" t="n">
        <f aca="false">SQRT(Q182*Q182+R182*R182)</f>
        <v>0.701927527747756</v>
      </c>
    </row>
    <row r="183" customFormat="false" ht="12.8" hidden="false" customHeight="false" outlineLevel="0" collapsed="false">
      <c r="A183" s="4" t="s">
        <v>21</v>
      </c>
      <c r="B183" s="4" t="n">
        <v>2.8</v>
      </c>
      <c r="C183" s="4" t="n">
        <v>72</v>
      </c>
      <c r="D183" s="1" t="n">
        <v>6.82393053786267</v>
      </c>
      <c r="E183" s="4" t="n">
        <v>0</v>
      </c>
      <c r="F183" s="1" t="n">
        <v>0.9</v>
      </c>
      <c r="G183" s="4" t="n">
        <v>1E+021</v>
      </c>
      <c r="H183" s="4" t="n">
        <v>0.3</v>
      </c>
      <c r="I183" s="5" t="n">
        <v>1000000000</v>
      </c>
      <c r="J183" s="6" t="n">
        <v>1717.53870020178</v>
      </c>
      <c r="K183" s="7" t="n">
        <v>0.364570540573712</v>
      </c>
      <c r="L183" s="8" t="n">
        <v>0.139637290374174</v>
      </c>
      <c r="M183" s="7" t="n">
        <v>0.181185298741465</v>
      </c>
      <c r="N183" s="7" t="n">
        <v>-0.00205469812296028</v>
      </c>
      <c r="O183" s="1" t="n">
        <v>212.388765999328</v>
      </c>
      <c r="P183" s="1" t="n">
        <v>200.664273462727</v>
      </c>
      <c r="Q183" s="16" t="n">
        <f aca="false">ABS(K183-0.36395)/0.0012</f>
        <v>0.517117144760021</v>
      </c>
      <c r="R183" s="16" t="n">
        <f aca="false">ABS(M183-0.17355)/0.016</f>
        <v>0.477206171341562</v>
      </c>
      <c r="S183" s="17" t="n">
        <f aca="false">SQRT(Q183*Q183+R183*R183)</f>
        <v>0.703658916927248</v>
      </c>
    </row>
    <row r="184" customFormat="false" ht="12.8" hidden="false" customHeight="false" outlineLevel="0" collapsed="false">
      <c r="A184" s="4" t="s">
        <v>21</v>
      </c>
      <c r="B184" s="4" t="n">
        <v>2.7</v>
      </c>
      <c r="C184" s="4" t="n">
        <v>70</v>
      </c>
      <c r="D184" s="1" t="n">
        <v>7.03906361699275</v>
      </c>
      <c r="E184" s="4" t="n">
        <v>0</v>
      </c>
      <c r="F184" s="1" t="n">
        <v>0.75</v>
      </c>
      <c r="G184" s="4" t="n">
        <v>1E+021</v>
      </c>
      <c r="H184" s="4" t="n">
        <v>0.3</v>
      </c>
      <c r="I184" s="5" t="n">
        <v>1000000000</v>
      </c>
      <c r="J184" s="6" t="n">
        <v>1675.46974020178</v>
      </c>
      <c r="K184" s="7" t="n">
        <v>0.363476945183913</v>
      </c>
      <c r="L184" s="8" t="n">
        <v>0.133069754939968</v>
      </c>
      <c r="M184" s="7" t="n">
        <v>0.171433403001093</v>
      </c>
      <c r="N184" s="7" t="n">
        <v>-0.00191202097123477</v>
      </c>
      <c r="O184" s="1" t="n">
        <v>211.004343916763</v>
      </c>
      <c r="P184" s="1" t="n">
        <v>200.58258538467</v>
      </c>
      <c r="Q184" s="16" t="n">
        <f aca="false">ABS(K184-0.36395)/0.0012</f>
        <v>0.39421234673917</v>
      </c>
      <c r="R184" s="16" t="n">
        <f aca="false">ABS(M184-0.17355)/0.016</f>
        <v>0.132287312431688</v>
      </c>
      <c r="S184" s="17" t="n">
        <f aca="false">SQRT(Q184*Q184+R184*R184)</f>
        <v>0.415816434682424</v>
      </c>
    </row>
    <row r="185" customFormat="false" ht="12.8" hidden="false" customHeight="false" outlineLevel="0" collapsed="false">
      <c r="A185" s="4" t="s">
        <v>21</v>
      </c>
      <c r="B185" s="4" t="n">
        <v>2.7</v>
      </c>
      <c r="C185" s="4" t="n">
        <v>65</v>
      </c>
      <c r="D185" s="1" t="n">
        <v>7.03491842498456</v>
      </c>
      <c r="E185" s="4" t="n">
        <v>0</v>
      </c>
      <c r="F185" s="1" t="n">
        <v>0.75</v>
      </c>
      <c r="G185" s="4" t="n">
        <v>1E+021</v>
      </c>
      <c r="H185" s="4" t="n">
        <v>0.3</v>
      </c>
      <c r="I185" s="5" t="n">
        <v>1000000000</v>
      </c>
      <c r="J185" s="6" t="n">
        <v>1670.29998020178</v>
      </c>
      <c r="K185" s="7" t="n">
        <v>0.363824004401433</v>
      </c>
      <c r="L185" s="8" t="n">
        <v>0.132588223788823</v>
      </c>
      <c r="M185" s="7" t="n">
        <v>0.170647720098106</v>
      </c>
      <c r="N185" s="7" t="n">
        <v>-0.0019033521069842</v>
      </c>
      <c r="O185" s="1" t="n">
        <v>211.533224790386</v>
      </c>
      <c r="P185" s="1" t="n">
        <v>200.671095435217</v>
      </c>
      <c r="Q185" s="16" t="n">
        <f aca="false">ABS(K185-0.36395)/0.0012</f>
        <v>0.104996332139183</v>
      </c>
      <c r="R185" s="16" t="n">
        <f aca="false">ABS(M185-0.17355)/0.016</f>
        <v>0.181392493868376</v>
      </c>
      <c r="S185" s="17" t="n">
        <f aca="false">SQRT(Q185*Q185+R185*R185)</f>
        <v>0.209588803599978</v>
      </c>
    </row>
    <row r="186" customFormat="false" ht="12.8" hidden="false" customHeight="false" outlineLevel="0" collapsed="false">
      <c r="A186" s="4" t="s">
        <v>21</v>
      </c>
      <c r="B186" s="4" t="n">
        <v>2.7</v>
      </c>
      <c r="C186" s="4" t="n">
        <v>60</v>
      </c>
      <c r="D186" s="1" t="n">
        <v>7.03637996629676</v>
      </c>
      <c r="E186" s="4" t="n">
        <v>0</v>
      </c>
      <c r="F186" s="1" t="n">
        <v>0.75</v>
      </c>
      <c r="G186" s="4" t="n">
        <v>1E+021</v>
      </c>
      <c r="H186" s="4" t="n">
        <v>0.3</v>
      </c>
      <c r="I186" s="5" t="n">
        <v>1000000000</v>
      </c>
      <c r="J186" s="6" t="n">
        <v>1664.79122820178</v>
      </c>
      <c r="K186" s="7" t="n">
        <v>0.364168815234669</v>
      </c>
      <c r="L186" s="8" t="n">
        <v>0.132066108324724</v>
      </c>
      <c r="M186" s="7" t="n">
        <v>0.169800907248651</v>
      </c>
      <c r="N186" s="7" t="n">
        <v>-0.00189389654856059</v>
      </c>
      <c r="O186" s="1" t="n">
        <v>210.905717877157</v>
      </c>
      <c r="P186" s="1" t="n">
        <v>200.76126118747</v>
      </c>
      <c r="Q186" s="16" t="n">
        <f aca="false">ABS(K186-0.36395)/0.0012</f>
        <v>0.182346028890825</v>
      </c>
      <c r="R186" s="16" t="n">
        <f aca="false">ABS(M186-0.17355)/0.016</f>
        <v>0.234318296959314</v>
      </c>
      <c r="S186" s="17" t="n">
        <f aca="false">SQRT(Q186*Q186+R186*R186)</f>
        <v>0.296909310298897</v>
      </c>
    </row>
    <row r="187" customFormat="false" ht="12.8" hidden="false" customHeight="false" outlineLevel="0" collapsed="false">
      <c r="A187" s="4" t="s">
        <v>21</v>
      </c>
      <c r="B187" s="4" t="n">
        <v>2.7</v>
      </c>
      <c r="C187" s="4" t="n">
        <v>55</v>
      </c>
      <c r="D187" s="1" t="n">
        <v>7.03052438801103</v>
      </c>
      <c r="E187" s="4" t="n">
        <v>0</v>
      </c>
      <c r="F187" s="1" t="n">
        <v>0.75</v>
      </c>
      <c r="G187" s="4" t="n">
        <v>1E+021</v>
      </c>
      <c r="H187" s="4" t="n">
        <v>0.3</v>
      </c>
      <c r="I187" s="5" t="n">
        <v>1000000000</v>
      </c>
      <c r="J187" s="6" t="n">
        <v>1659.62146820178</v>
      </c>
      <c r="K187" s="7" t="n">
        <v>0.364523466069085</v>
      </c>
      <c r="L187" s="8" t="n">
        <v>0.131596534859378</v>
      </c>
      <c r="M187" s="7" t="n">
        <v>0.169032766655813</v>
      </c>
      <c r="N187" s="7" t="n">
        <v>-0.00188557954156621</v>
      </c>
      <c r="O187" s="1" t="n">
        <v>211.045371256379</v>
      </c>
      <c r="P187" s="1" t="n">
        <v>200.847523136136</v>
      </c>
      <c r="Q187" s="16" t="n">
        <f aca="false">ABS(K187-0.36395)/0.0012</f>
        <v>0.477888390904152</v>
      </c>
      <c r="R187" s="16" t="n">
        <f aca="false">ABS(M187-0.17355)/0.016</f>
        <v>0.282327084011689</v>
      </c>
      <c r="S187" s="17" t="n">
        <f aca="false">SQRT(Q187*Q187+R187*R187)</f>
        <v>0.555054859025216</v>
      </c>
    </row>
    <row r="188" customFormat="false" ht="12.8" hidden="false" customHeight="false" outlineLevel="0" collapsed="false">
      <c r="A188" s="4" t="s">
        <v>21</v>
      </c>
      <c r="B188" s="4" t="n">
        <v>2.8</v>
      </c>
      <c r="C188" s="4" t="n">
        <v>70</v>
      </c>
      <c r="D188" s="1" t="n">
        <v>7.03261244884109</v>
      </c>
      <c r="E188" s="4" t="n">
        <v>0</v>
      </c>
      <c r="F188" s="1" t="n">
        <v>0.75</v>
      </c>
      <c r="G188" s="4" t="n">
        <v>1E+021</v>
      </c>
      <c r="H188" s="4" t="n">
        <v>0.3</v>
      </c>
      <c r="I188" s="5" t="n">
        <v>1000000000</v>
      </c>
      <c r="J188" s="6" t="n">
        <v>1663.60502020178</v>
      </c>
      <c r="K188" s="7" t="n">
        <v>0.364280734445856</v>
      </c>
      <c r="L188" s="8" t="n">
        <v>0.131984174833581</v>
      </c>
      <c r="M188" s="7" t="n">
        <v>0.169658781232174</v>
      </c>
      <c r="N188" s="7" t="n">
        <v>-0.00188723215396489</v>
      </c>
      <c r="O188" s="1" t="n">
        <v>211.740555886068</v>
      </c>
      <c r="P188" s="1" t="n">
        <v>200.785918702182</v>
      </c>
      <c r="Q188" s="16" t="n">
        <f aca="false">ABS(K188-0.36395)/0.0012</f>
        <v>0.275612038213348</v>
      </c>
      <c r="R188" s="16" t="n">
        <f aca="false">ABS(M188-0.17355)/0.016</f>
        <v>0.243201172989125</v>
      </c>
      <c r="S188" s="17" t="n">
        <f aca="false">SQRT(Q188*Q188+R188*R188)</f>
        <v>0.367571498012839</v>
      </c>
    </row>
    <row r="189" customFormat="false" ht="12.8" hidden="false" customHeight="false" outlineLevel="0" collapsed="false">
      <c r="A189" s="4" t="s">
        <v>21</v>
      </c>
      <c r="B189" s="4" t="n">
        <v>2.8</v>
      </c>
      <c r="C189" s="4" t="n">
        <v>65</v>
      </c>
      <c r="D189" s="1" t="n">
        <v>7.03051338157188</v>
      </c>
      <c r="E189" s="4" t="n">
        <v>0</v>
      </c>
      <c r="F189" s="1" t="n">
        <v>0.75</v>
      </c>
      <c r="G189" s="4" t="n">
        <v>1E+021</v>
      </c>
      <c r="H189" s="4" t="n">
        <v>0.3</v>
      </c>
      <c r="I189" s="5" t="n">
        <v>1000000000</v>
      </c>
      <c r="J189" s="6" t="n">
        <v>1659.11324420178</v>
      </c>
      <c r="K189" s="7" t="n">
        <v>0.364573309915386</v>
      </c>
      <c r="L189" s="8" t="n">
        <v>0.13156815059102</v>
      </c>
      <c r="M189" s="7" t="n">
        <v>0.168981719690424</v>
      </c>
      <c r="N189" s="7" t="n">
        <v>-0.00188005690381893</v>
      </c>
      <c r="O189" s="1" t="n">
        <v>211.039931669426</v>
      </c>
      <c r="P189" s="1" t="n">
        <v>200.859036631443</v>
      </c>
      <c r="Q189" s="16" t="n">
        <f aca="false">ABS(K189-0.36395)/0.0012</f>
        <v>0.519424929488338</v>
      </c>
      <c r="R189" s="16" t="n">
        <f aca="false">ABS(M189-0.17355)/0.016</f>
        <v>0.285517519348501</v>
      </c>
      <c r="S189" s="17" t="n">
        <f aca="false">SQRT(Q189*Q189+R189*R189)</f>
        <v>0.592724650431283</v>
      </c>
    </row>
    <row r="190" customFormat="false" ht="12.8" hidden="false" customHeight="false" outlineLevel="0" collapsed="false">
      <c r="A190" s="4" t="s">
        <v>21</v>
      </c>
      <c r="B190" s="4" t="n">
        <v>2.7</v>
      </c>
      <c r="C190" s="4" t="n">
        <v>65</v>
      </c>
      <c r="D190" s="1" t="n">
        <v>7.11430429806851</v>
      </c>
      <c r="E190" s="4" t="n">
        <v>0</v>
      </c>
      <c r="F190" s="1" t="n">
        <v>0.7</v>
      </c>
      <c r="G190" s="4" t="n">
        <v>1E+021</v>
      </c>
      <c r="H190" s="4" t="n">
        <v>0.3</v>
      </c>
      <c r="I190" s="5" t="n">
        <v>1000000000</v>
      </c>
      <c r="J190" s="6" t="n">
        <v>1652.33340420178</v>
      </c>
      <c r="K190" s="7" t="n">
        <v>0.363683551526116</v>
      </c>
      <c r="L190" s="8" t="n">
        <v>0.130147898760031</v>
      </c>
      <c r="M190" s="7" t="n">
        <v>0.166988066756887</v>
      </c>
      <c r="N190" s="7" t="n">
        <v>-0.00185136468738567</v>
      </c>
      <c r="O190" s="1" t="n">
        <v>210.70843161653</v>
      </c>
      <c r="P190" s="1" t="n">
        <v>200.700017982171</v>
      </c>
      <c r="Q190" s="16" t="n">
        <f aca="false">ABS(K190-0.36395)/0.0012</f>
        <v>0.222040394903348</v>
      </c>
      <c r="R190" s="16" t="n">
        <f aca="false">ABS(M190-0.17355)/0.016</f>
        <v>0.410120827694564</v>
      </c>
      <c r="S190" s="17" t="n">
        <f aca="false">SQRT(Q190*Q190+R190*R190)</f>
        <v>0.466370057226779</v>
      </c>
    </row>
    <row r="191" customFormat="false" ht="12.8" hidden="false" customHeight="false" outlineLevel="0" collapsed="false">
      <c r="A191" s="4" t="s">
        <v>21</v>
      </c>
      <c r="B191" s="4" t="n">
        <v>2.7</v>
      </c>
      <c r="C191" s="4" t="n">
        <v>60</v>
      </c>
      <c r="D191" s="1" t="n">
        <v>7.11039176268015</v>
      </c>
      <c r="E191" s="4" t="n">
        <v>0</v>
      </c>
      <c r="F191" s="1" t="n">
        <v>0.7</v>
      </c>
      <c r="G191" s="4" t="n">
        <v>1E+021</v>
      </c>
      <c r="H191" s="4" t="n">
        <v>0.3</v>
      </c>
      <c r="I191" s="5" t="n">
        <v>1000000000</v>
      </c>
      <c r="J191" s="6" t="n">
        <v>1647.16983829975</v>
      </c>
      <c r="K191" s="7" t="n">
        <v>0.364035801402676</v>
      </c>
      <c r="L191" s="8" t="n">
        <v>0.129690962726258</v>
      </c>
      <c r="M191" s="7" t="n">
        <v>0.16631871834043</v>
      </c>
      <c r="N191" s="7" t="n">
        <v>-0.00181010069943055</v>
      </c>
      <c r="O191" s="1" t="n">
        <v>210.596592785928</v>
      </c>
      <c r="P191" s="1" t="n">
        <v>200.785273838399</v>
      </c>
      <c r="Q191" s="16" t="n">
        <f aca="false">ABS(K191-0.36395)/0.0012</f>
        <v>0.0715011688966668</v>
      </c>
      <c r="R191" s="16" t="n">
        <f aca="false">ABS(M191-0.17355)/0.016</f>
        <v>0.451955103723126</v>
      </c>
      <c r="S191" s="17" t="n">
        <f aca="false">SQRT(Q191*Q191+R191*R191)</f>
        <v>0.457576040604151</v>
      </c>
    </row>
    <row r="192" s="15" customFormat="true" ht="12.8" hidden="false" customHeight="false" outlineLevel="0" collapsed="false">
      <c r="A192" s="9" t="s">
        <v>21</v>
      </c>
      <c r="B192" s="9" t="n">
        <v>2.8</v>
      </c>
      <c r="C192" s="9" t="n">
        <v>70</v>
      </c>
      <c r="D192" s="10" t="n">
        <v>7.10879813598674</v>
      </c>
      <c r="E192" s="9" t="n">
        <v>0</v>
      </c>
      <c r="F192" s="10" t="n">
        <v>0.7</v>
      </c>
      <c r="G192" s="9" t="n">
        <v>1E+021</v>
      </c>
      <c r="H192" s="9" t="n">
        <v>0.3</v>
      </c>
      <c r="I192" s="11" t="n">
        <v>1000000000</v>
      </c>
      <c r="J192" s="12" t="n">
        <v>1645.88683253519</v>
      </c>
      <c r="K192" s="13" t="n">
        <v>0.364146105743875</v>
      </c>
      <c r="L192" s="14" t="n">
        <v>0.129626968494214</v>
      </c>
      <c r="M192" s="13" t="n">
        <v>0.166121352252705</v>
      </c>
      <c r="N192" s="13" t="n">
        <v>-0.00182725928713984</v>
      </c>
      <c r="O192" s="10" t="n">
        <v>209.960566758064</v>
      </c>
      <c r="P192" s="10" t="n">
        <v>200.814829683546</v>
      </c>
      <c r="Q192" s="16" t="n">
        <f aca="false">ABS(K192-0.36395)/0.0012</f>
        <v>0.163421453229183</v>
      </c>
      <c r="R192" s="16" t="n">
        <f aca="false">ABS(M192-0.17355)/0.016</f>
        <v>0.464290484205938</v>
      </c>
      <c r="S192" s="17" t="n">
        <f aca="false">SQRT(Q192*Q192+R192*R192)</f>
        <v>0.492211565385986</v>
      </c>
    </row>
  </sheetData>
  <autoFilter ref="A1:P192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6"/>
  <sheetViews>
    <sheetView showFormulas="false" showGridLines="true" showRowColHeaders="true" showZeros="true" rightToLeft="false" tabSelected="true" showOutlineSymbols="true" defaultGridColor="true" view="normal" topLeftCell="H1" colorId="64" zoomScale="110" zoomScaleNormal="110" zoomScalePageLayoutView="100" workbookViewId="0">
      <selection pane="topLeft" activeCell="O2" activeCellId="0" sqref="O2:P6"/>
    </sheetView>
  </sheetViews>
  <sheetFormatPr defaultColWidth="11.53515625" defaultRowHeight="12.8" zeroHeight="false" outlineLevelRow="0" outlineLevelCol="0"/>
  <sheetData>
    <row r="1" s="4" customFormat="true" ht="5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customFormat="false" ht="12.8" hidden="false" customHeight="false" outlineLevel="0" collapsed="false">
      <c r="A2" s="4" t="s">
        <v>18</v>
      </c>
      <c r="B2" s="4" t="n">
        <v>2.7</v>
      </c>
      <c r="C2" s="4" t="n">
        <v>40</v>
      </c>
      <c r="D2" s="1" t="n">
        <v>7.04103665194149</v>
      </c>
      <c r="E2" s="4" t="n">
        <v>0</v>
      </c>
      <c r="F2" s="1" t="n">
        <v>0.75</v>
      </c>
      <c r="G2" s="4" t="n">
        <v>1E+021</v>
      </c>
      <c r="H2" s="4" t="n">
        <v>0.3</v>
      </c>
      <c r="I2" s="5" t="n">
        <v>1000000000</v>
      </c>
      <c r="J2" s="6" t="n">
        <v>1683.77425220178</v>
      </c>
      <c r="K2" s="7" t="n">
        <v>0.363980501511596</v>
      </c>
      <c r="L2" s="8" t="n">
        <v>0.134360801598181</v>
      </c>
      <c r="M2" s="8" t="n">
        <v>0.173221968756437</v>
      </c>
      <c r="N2" s="7" t="n">
        <v>-0.00195124595959031</v>
      </c>
      <c r="O2" s="18" t="n">
        <v>211.680460638539</v>
      </c>
      <c r="P2" s="18" t="n">
        <v>200.535213318201</v>
      </c>
      <c r="S2" s="17"/>
    </row>
    <row r="3" customFormat="false" ht="12.8" hidden="false" customHeight="false" outlineLevel="0" collapsed="false">
      <c r="A3" s="4" t="s">
        <v>19</v>
      </c>
      <c r="B3" s="4" t="n">
        <v>2.7</v>
      </c>
      <c r="C3" s="4" t="n">
        <v>40</v>
      </c>
      <c r="D3" s="1" t="n">
        <v>7.03848454588144</v>
      </c>
      <c r="E3" s="4" t="n">
        <v>0</v>
      </c>
      <c r="F3" s="1" t="n">
        <v>0.75</v>
      </c>
      <c r="G3" s="4" t="n">
        <v>1E+021</v>
      </c>
      <c r="H3" s="4" t="n">
        <v>0.3</v>
      </c>
      <c r="I3" s="5" t="n">
        <v>1000000000</v>
      </c>
      <c r="J3" s="6" t="n">
        <v>1678.35038020178</v>
      </c>
      <c r="K3" s="7" t="n">
        <v>0.363922889295286</v>
      </c>
      <c r="L3" s="8" t="n">
        <v>0.135164915625839</v>
      </c>
      <c r="M3" s="8" t="n">
        <v>0.173397378615695</v>
      </c>
      <c r="N3" s="7" t="n">
        <v>-0.0018491959299359</v>
      </c>
      <c r="O3" s="18" t="n">
        <v>210.366263532169</v>
      </c>
      <c r="P3" s="18" t="n">
        <v>200.854249111927</v>
      </c>
      <c r="S3" s="17"/>
    </row>
    <row r="4" customFormat="false" ht="12.8" hidden="false" customHeight="false" outlineLevel="0" collapsed="false">
      <c r="A4" s="4" t="s">
        <v>20</v>
      </c>
      <c r="B4" s="4" t="n">
        <v>2.7</v>
      </c>
      <c r="C4" s="4" t="n">
        <v>50</v>
      </c>
      <c r="D4" s="1" t="n">
        <v>7.03752053818405</v>
      </c>
      <c r="E4" s="4" t="n">
        <v>0</v>
      </c>
      <c r="F4" s="1" t="n">
        <v>0.75</v>
      </c>
      <c r="G4" s="4" t="n">
        <v>1E+021</v>
      </c>
      <c r="H4" s="4" t="n">
        <v>0.3</v>
      </c>
      <c r="I4" s="5" t="n">
        <v>1000000000</v>
      </c>
      <c r="J4" s="6" t="n">
        <v>1686.99494020178</v>
      </c>
      <c r="K4" s="7" t="n">
        <v>0.363950986974877</v>
      </c>
      <c r="L4" s="8" t="n">
        <v>0.135143389980736</v>
      </c>
      <c r="M4" s="8" t="n">
        <v>0.174586991887682</v>
      </c>
      <c r="N4" s="7" t="n">
        <v>-0.00201948018123782</v>
      </c>
      <c r="O4" s="18" t="n">
        <v>211.607308360663</v>
      </c>
      <c r="P4" s="18" t="n">
        <v>200.563546295407</v>
      </c>
      <c r="S4" s="17"/>
    </row>
    <row r="5" customFormat="false" ht="12.8" hidden="false" customHeight="false" outlineLevel="0" collapsed="false">
      <c r="A5" s="4" t="s">
        <v>21</v>
      </c>
      <c r="B5" s="4" t="n">
        <v>2.7</v>
      </c>
      <c r="C5" s="4" t="n">
        <v>65</v>
      </c>
      <c r="D5" s="1" t="n">
        <v>6.9618366970892</v>
      </c>
      <c r="E5" s="4" t="n">
        <v>0</v>
      </c>
      <c r="F5" s="1" t="n">
        <v>0.8</v>
      </c>
      <c r="G5" s="4" t="n">
        <v>1E+021</v>
      </c>
      <c r="H5" s="4" t="n">
        <v>0.3</v>
      </c>
      <c r="I5" s="5" t="n">
        <v>1000000000</v>
      </c>
      <c r="J5" s="6" t="n">
        <v>1687.92756420178</v>
      </c>
      <c r="K5" s="7" t="n">
        <v>0.363961694538034</v>
      </c>
      <c r="L5" s="8" t="n">
        <v>0.135059590375878</v>
      </c>
      <c r="M5" s="8" t="n">
        <v>0.174358818497967</v>
      </c>
      <c r="N5" s="7" t="n">
        <v>-0.0019568238418291</v>
      </c>
      <c r="O5" s="18" t="n">
        <v>211.893558072659</v>
      </c>
      <c r="P5" s="18" t="n">
        <v>200.640576932856</v>
      </c>
      <c r="S5" s="17"/>
    </row>
    <row r="6" customFormat="false" ht="12.8" hidden="false" customHeight="false" outlineLevel="0" collapsed="false">
      <c r="A6" s="4" t="s">
        <v>16</v>
      </c>
      <c r="B6" s="4" t="n">
        <v>2.7</v>
      </c>
      <c r="C6" s="4" t="n">
        <v>70</v>
      </c>
      <c r="D6" s="1" t="n">
        <v>6.96151327805064</v>
      </c>
      <c r="E6" s="4" t="n">
        <v>0</v>
      </c>
      <c r="F6" s="1" t="n">
        <v>0.8</v>
      </c>
      <c r="G6" s="4" t="n">
        <v>1E+021</v>
      </c>
      <c r="H6" s="4" t="n">
        <v>0.3</v>
      </c>
      <c r="I6" s="5" t="n">
        <v>1000000000</v>
      </c>
      <c r="J6" s="6" t="n">
        <v>1684.96151620178</v>
      </c>
      <c r="K6" s="7" t="n">
        <v>0.363945193806592</v>
      </c>
      <c r="L6" s="8" t="n">
        <v>0.134357192623512</v>
      </c>
      <c r="M6" s="8" t="n">
        <v>0.173546604993951</v>
      </c>
      <c r="N6" s="7" t="n">
        <v>-0.00195079238773649</v>
      </c>
      <c r="O6" s="18" t="n">
        <v>211.61693400635</v>
      </c>
      <c r="P6" s="18" t="n">
        <v>200.617410236859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LibreOffice/24.2.2.2$MacOSX_X86_64 LibreOffice_project/d56cc158d8a96260b836f100ef4b4ef25d6f1a01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2025-05-11T21:18:15Z</dcterms:created>
  <dc:creator/>
  <dc:description/>
  <dc:language>ru-RU</dc:language>
  <cp:lastModifiedBy/>
  <dcterms:modified xsi:type="dcterms:W3CDTF">2025-05-18T13:23:30Z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